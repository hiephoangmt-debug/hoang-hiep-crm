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ướng dẫn" sheetId="1" state="visible" r:id="rId1"/>
    <sheet name="Báo cáo tháng" sheetId="2" state="visible" r:id="rId2"/>
    <sheet name="Sổ giao dịch" sheetId="3" state="visible" r:id="rId3"/>
    <sheet name="Thống kê tháng" sheetId="4" state="visible" r:id="rId4"/>
    <sheet name="Theo danh mục" sheetId="5" state="visible" r:id="rId5"/>
    <sheet name="Danh mục" sheetId="6" state="visible" r:id="rId6"/>
  </sheets>
  <definedNames>
    <definedName name="_xlnm._FilterDatabase" localSheetId="2" hidden="1">'Sổ giao dịch'!$A$1:$H$3001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yyyy-mm-dd"/>
    <numFmt numFmtId="166" formatCode="dd/mm/yyyy"/>
  </numFmts>
  <fonts count="12">
    <font>
      <name val="Calibri"/>
      <family val="2"/>
      <color theme="1"/>
      <sz val="11"/>
      <scheme val="minor"/>
    </font>
    <font>
      <name val="Arial"/>
      <b val="1"/>
      <color rgb="00C00000"/>
      <sz val="16"/>
    </font>
    <font>
      <name val="Arial"/>
      <sz val="11"/>
    </font>
    <font>
      <name val="Arial"/>
      <b val="1"/>
      <sz val="12"/>
    </font>
    <font>
      <name val="Arial"/>
      <b val="1"/>
    </font>
    <font>
      <name val="Arial"/>
      <color rgb="000000FF"/>
    </font>
    <font>
      <name val="Arial"/>
      <i val="1"/>
      <color rgb="00808080"/>
    </font>
    <font>
      <name val="Arial"/>
      <color rgb="00808080"/>
    </font>
    <font>
      <name val="Arial"/>
      <b val="1"/>
      <color rgb="00C00000"/>
      <sz val="14"/>
    </font>
    <font>
      <name val="Arial"/>
      <b val="1"/>
      <color rgb="000000FF"/>
    </font>
    <font>
      <name val="Arial"/>
    </font>
    <font>
      <name val="Arial"/>
      <color rgb="00FFFFFF"/>
    </font>
  </fonts>
  <fills count="4">
    <fill>
      <patternFill/>
    </fill>
    <fill>
      <patternFill patternType="gray125"/>
    </fill>
    <fill>
      <patternFill patternType="solid">
        <fgColor rgb="00FFF36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9" fillId="3" borderId="1" pivotButton="0" quotePrefix="0" xfId="0"/>
    <xf numFmtId="0" fontId="11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0" fontId="10" fillId="0" borderId="0" pivotButton="0" quotePrefix="0" xfId="0"/>
    <xf numFmtId="164" fontId="10" fillId="0" borderId="1" pivotButton="0" quotePrefix="0" xfId="0"/>
    <xf numFmtId="0" fontId="4" fillId="2" borderId="0" pivotButton="0" quotePrefix="0" xfId="0"/>
    <xf numFmtId="164" fontId="4" fillId="2" borderId="1" pivotButton="0" quotePrefix="0" xfId="0"/>
    <xf numFmtId="9" fontId="10" fillId="0" borderId="1" pivotButton="0" quotePrefix="0" xfId="0"/>
    <xf numFmtId="1" fontId="10" fillId="0" borderId="1" pivotButton="0" quotePrefix="0" xfId="0"/>
    <xf numFmtId="0" fontId="4" fillId="2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166" fontId="5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4" fillId="2" borderId="1" applyAlignment="1" pivotButton="0" quotePrefix="0" xfId="0">
      <alignment horizontal="center" wrapText="1"/>
    </xf>
    <xf numFmtId="9" fontId="4" fillId="2" borderId="1" pivotButton="0" quotePrefix="0" xfId="0"/>
    <xf numFmtId="1" fontId="4" fillId="2" borderId="1" pivotButton="0" quotePrefix="0" xfId="0"/>
    <xf numFmtId="1" fontId="10" fillId="0" borderId="0" pivotButton="0" quotePrefix="0" xfId="0"/>
    <xf numFmtId="164" fontId="10" fillId="0" borderId="0" pivotButton="0" quotePrefix="0" xfId="0"/>
    <xf numFmtId="0" fontId="5" fillId="3" borderId="1" pivotButton="0" quotePrefix="0" xfId="0"/>
    <xf numFmtId="164" fontId="5" fillId="3" borderId="1" pivotButton="0" quotePrefix="0" xfId="0"/>
  </cellXfs>
  <cellStyles count="1">
    <cellStyle name="Normal" xfId="0" builtinId="0" hidden="0"/>
  </cellStyles>
  <dxfs count="1">
    <dxf>
      <font>
        <name val="Arial"/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Thu – Chi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'Thống kê tháng'!B4</f>
            </strRef>
          </tx>
          <spPr>
            <a:ln>
              <a:prstDash val="solid"/>
            </a:ln>
          </spPr>
          <cat>
            <numRef>
              <f>'Thống kê tháng'!$A$5:$A$16</f>
            </numRef>
          </cat>
          <val>
            <numRef>
              <f>'Thống kê tháng'!$B$5:$B$16</f>
            </numRef>
          </val>
        </ser>
        <ser>
          <idx val="1"/>
          <order val="1"/>
          <tx>
            <strRef>
              <f>'Thống kê tháng'!C4</f>
            </strRef>
          </tx>
          <spPr>
            <a:ln>
              <a:prstDash val="solid"/>
            </a:ln>
          </spPr>
          <cat>
            <numRef>
              <f>'Thống kê tháng'!$A$5:$A$16</f>
            </numRef>
          </cat>
          <val>
            <numRef>
              <f>'Thống kê tháng'!$C$5:$C$16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đồng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Thu Chi</author>
  </authors>
  <commentList>
    <comment ref="H1" authorId="0" shapeId="0">
      <text>
        <t>Mã tháng dạng NămTháng (vd 202608) – dùng cho thống kê. Không cần nhập.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9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THU CHI GIA ĐÌNH – MẸ VÂN</t>
        </is>
      </c>
    </row>
    <row r="2">
      <c r="A2" s="2" t="inlineStr"/>
    </row>
    <row r="3">
      <c r="A3" s="3" t="inlineStr">
        <is>
          <t>CÁCH DÙNG</t>
        </is>
      </c>
    </row>
    <row r="4">
      <c r="A4" s="2" t="inlineStr">
        <is>
          <t>1. Mỗi khoản thu/chi nhập 1 dòng ở sheet "Sổ giao dịch": Ngày, Nhóm, Danh mục (chọn từ danh sách), Diễn giải, Thu hoặc Chi.</t>
        </is>
      </c>
    </row>
    <row r="5">
      <c r="A5" s="2" t="inlineStr">
        <is>
          <t>2. Cột "Tháng" tự tính – không cần nhập.</t>
        </is>
      </c>
    </row>
    <row r="6">
      <c r="A6" s="2" t="inlineStr">
        <is>
          <t>3. Sheet "Thống kê tháng": gõ NĂM vào ô vàng → tự tính thu, chi, tồn, tồn lũy kế, tỷ lệ tiết kiệm từng tháng + biểu đồ.</t>
        </is>
      </c>
    </row>
    <row r="7">
      <c r="A7" s="2" t="inlineStr">
        <is>
          <t>4. Sheet "Theo danh mục": chi từng danh mục theo 12 tháng, so với ngân sách.</t>
        </is>
      </c>
    </row>
    <row r="8">
      <c r="A8" s="2" t="inlineStr">
        <is>
          <t>5. Sheet "Báo cáo tháng": gõ THÁNG và NĂM vào ô vàng → xem tổng hợp và ngân sách của tháng đó.</t>
        </is>
      </c>
    </row>
    <row r="9">
      <c r="A9" s="2" t="inlineStr">
        <is>
          <t>6. Sheet "Danh mục": thêm/sửa danh mục và ngân sách mỗi tháng (ô vàng).</t>
        </is>
      </c>
    </row>
    <row r="10">
      <c r="A10" s="2" t="inlineStr"/>
    </row>
    <row r="11">
      <c r="A11" s="3" t="inlineStr">
        <is>
          <t>QUY ƯỚC</t>
        </is>
      </c>
    </row>
    <row r="12">
      <c r="A12" s="2" t="inlineStr">
        <is>
          <t>• Ô nền vàng: ô người dùng nhập/sửa.  • Các ô khác có công thức – không xóa.</t>
        </is>
      </c>
    </row>
    <row r="13">
      <c r="A13" s="2" t="inlineStr">
        <is>
          <t>• Số tiền nhập số nguyên (vd 3000000), Excel tự hiện 3,000,000.</t>
        </is>
      </c>
    </row>
    <row r="14">
      <c r="A14" s="2" t="inlineStr">
        <is>
          <t>• Dữ liệu tháng 8/2026 đã nhập sẵn làm mẫu (lấy từ bảng THU CHI THÁNG 8/2026 của gia đình).</t>
        </is>
      </c>
    </row>
    <row r="15">
      <c r="A15" s="2" t="inlineStr">
        <is>
          <t>• File này cũng nhập được vào app Thu Chi: app → Lịch sử → "Nhập từ Excel" → chọn file → sheet "Sổ giao dịch".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BÁO CÁO THU CHI THÁNG</t>
        </is>
      </c>
    </row>
    <row r="2">
      <c r="A2" s="4" t="inlineStr">
        <is>
          <t>Tháng:</t>
        </is>
      </c>
      <c r="B2" s="5" t="n">
        <v>8</v>
      </c>
      <c r="C2" s="4" t="inlineStr">
        <is>
          <t>Năm:</t>
        </is>
      </c>
      <c r="D2" s="5" t="n">
        <v>2026</v>
      </c>
      <c r="F2" s="6">
        <f>D2*100+B2</f>
        <v/>
      </c>
    </row>
    <row r="5">
      <c r="A5" s="4" t="inlineStr">
        <is>
          <t>Tổng thu</t>
        </is>
      </c>
      <c r="B5" s="7">
        <f>SUMIFS('Sổ giao dịch'!$E$2:$E$3001,'Sổ giao dịch'!$H$2:$H$3001,$F$2)</f>
        <v/>
      </c>
      <c r="H5" s="8" t="inlineStr">
        <is>
          <t>Gõ tháng (1–12) và năm vào ô vàng ở dòng 2.</t>
        </is>
      </c>
    </row>
    <row r="6">
      <c r="A6" s="4" t="inlineStr">
        <is>
          <t>Tổng chi</t>
        </is>
      </c>
      <c r="B6" s="7">
        <f>SUMIFS('Sổ giao dịch'!$F$2:$F$3001,'Sổ giao dịch'!$H$2:$H$3001,$F$2)</f>
        <v/>
      </c>
      <c r="H6" s="8" t="inlineStr">
        <is>
          <t>Danh sách giao dịch chi tiết: sheet "Sổ giao dịch" → lọc cột "Tháng".</t>
        </is>
      </c>
    </row>
    <row r="7">
      <c r="A7" s="9" t="inlineStr">
        <is>
          <t xml:space="preserve">   Chi cố định</t>
        </is>
      </c>
      <c r="B7" s="10">
        <f>SUMIFS('Sổ giao dịch'!$F$2:$F$3001,'Sổ giao dịch'!$H$2:$H$3001,$F$2,'Sổ giao dịch'!$B$2:$B$3001,"Cố định")</f>
        <v/>
      </c>
    </row>
    <row r="8">
      <c r="A8" s="9" t="inlineStr">
        <is>
          <t xml:space="preserve">   Chi phát sinh</t>
        </is>
      </c>
      <c r="B8" s="10">
        <f>B6-B7</f>
        <v/>
      </c>
    </row>
    <row r="9">
      <c r="A9" s="11" t="inlineStr">
        <is>
          <t>TỒN (thu − chi)</t>
        </is>
      </c>
      <c r="B9" s="12">
        <f>B5-B6</f>
        <v/>
      </c>
    </row>
    <row r="10">
      <c r="A10" s="9" t="inlineStr">
        <is>
          <t>Tỷ lệ tiết kiệm</t>
        </is>
      </c>
      <c r="B10" s="13">
        <f>IF(B5=0,"",B9/B5)</f>
        <v/>
      </c>
    </row>
    <row r="11">
      <c r="A11" s="9" t="inlineStr">
        <is>
          <t>Số giao dịch</t>
        </is>
      </c>
      <c r="B11" s="14">
        <f>COUNTIFS('Sổ giao dịch'!$H$2:$H$3001,$F$2)</f>
        <v/>
      </c>
    </row>
    <row r="12">
      <c r="A12" s="3" t="inlineStr">
        <is>
          <t>THEO DANH MỤC</t>
        </is>
      </c>
    </row>
    <row r="13">
      <c r="A13" s="15" t="inlineStr">
        <is>
          <t>Danh mục</t>
        </is>
      </c>
      <c r="B13" s="15" t="inlineStr">
        <is>
          <t>Loại</t>
        </is>
      </c>
      <c r="C13" s="15" t="inlineStr">
        <is>
          <t>Thực tế</t>
        </is>
      </c>
      <c r="D13" s="15" t="inlineStr">
        <is>
          <t>Ngân sách</t>
        </is>
      </c>
      <c r="E13" s="15" t="inlineStr">
        <is>
          <t>Còn lại</t>
        </is>
      </c>
      <c r="F13" s="15" t="inlineStr">
        <is>
          <t>% đã dùng</t>
        </is>
      </c>
    </row>
    <row r="14">
      <c r="A14" s="16">
        <f>IF('Danh mục'!A2="","",'Danh mục'!A2)</f>
        <v/>
      </c>
      <c r="B14" s="16">
        <f>IF(A14="","",'Danh mục'!B2)</f>
        <v/>
      </c>
      <c r="C14" s="10">
        <f>IF(A14="","",IF(B14="Thu",SUMIFS('Sổ giao dịch'!$E$2:$E$3001,'Sổ giao dịch'!$C$2:$C$3001,A14,'Sổ giao dịch'!$H$2:$H$3001,$F$2),SUMIFS('Sổ giao dịch'!$F$2:$F$3001,'Sổ giao dịch'!$C$2:$C$3001,A14,'Sổ giao dịch'!$H$2:$H$3001,$F$2)))</f>
        <v/>
      </c>
      <c r="D14" s="10">
        <f>IF(OR(A14="",'Danh mục'!C2=""),"",'Danh mục'!C2)</f>
        <v/>
      </c>
      <c r="E14" s="10">
        <f>IF(D14="","",D14-C14)</f>
        <v/>
      </c>
      <c r="F14" s="13">
        <f>IF(OR(D14="",D14=0),"",C14/D14)</f>
        <v/>
      </c>
    </row>
    <row r="15">
      <c r="A15" s="16">
        <f>IF('Danh mục'!A3="","",'Danh mục'!A3)</f>
        <v/>
      </c>
      <c r="B15" s="16">
        <f>IF(A15="","",'Danh mục'!B3)</f>
        <v/>
      </c>
      <c r="C15" s="10">
        <f>IF(A15="","",IF(B15="Thu",SUMIFS('Sổ giao dịch'!$E$2:$E$3001,'Sổ giao dịch'!$C$2:$C$3001,A15,'Sổ giao dịch'!$H$2:$H$3001,$F$2),SUMIFS('Sổ giao dịch'!$F$2:$F$3001,'Sổ giao dịch'!$C$2:$C$3001,A15,'Sổ giao dịch'!$H$2:$H$3001,$F$2)))</f>
        <v/>
      </c>
      <c r="D15" s="10">
        <f>IF(OR(A15="",'Danh mục'!C3=""),"",'Danh mục'!C3)</f>
        <v/>
      </c>
      <c r="E15" s="10">
        <f>IF(D15="","",D15-C15)</f>
        <v/>
      </c>
      <c r="F15" s="13">
        <f>IF(OR(D15="",D15=0),"",C15/D15)</f>
        <v/>
      </c>
    </row>
    <row r="16">
      <c r="A16" s="16">
        <f>IF('Danh mục'!A4="","",'Danh mục'!A4)</f>
        <v/>
      </c>
      <c r="B16" s="16">
        <f>IF(A16="","",'Danh mục'!B4)</f>
        <v/>
      </c>
      <c r="C16" s="10">
        <f>IF(A16="","",IF(B16="Thu",SUMIFS('Sổ giao dịch'!$E$2:$E$3001,'Sổ giao dịch'!$C$2:$C$3001,A16,'Sổ giao dịch'!$H$2:$H$3001,$F$2),SUMIFS('Sổ giao dịch'!$F$2:$F$3001,'Sổ giao dịch'!$C$2:$C$3001,A16,'Sổ giao dịch'!$H$2:$H$3001,$F$2)))</f>
        <v/>
      </c>
      <c r="D16" s="10">
        <f>IF(OR(A16="",'Danh mục'!C4=""),"",'Danh mục'!C4)</f>
        <v/>
      </c>
      <c r="E16" s="10">
        <f>IF(D16="","",D16-C16)</f>
        <v/>
      </c>
      <c r="F16" s="13">
        <f>IF(OR(D16="",D16=0),"",C16/D16)</f>
        <v/>
      </c>
    </row>
    <row r="17">
      <c r="A17" s="16">
        <f>IF('Danh mục'!A5="","",'Danh mục'!A5)</f>
        <v/>
      </c>
      <c r="B17" s="16">
        <f>IF(A17="","",'Danh mục'!B5)</f>
        <v/>
      </c>
      <c r="C17" s="10">
        <f>IF(A17="","",IF(B17="Thu",SUMIFS('Sổ giao dịch'!$E$2:$E$3001,'Sổ giao dịch'!$C$2:$C$3001,A17,'Sổ giao dịch'!$H$2:$H$3001,$F$2),SUMIFS('Sổ giao dịch'!$F$2:$F$3001,'Sổ giao dịch'!$C$2:$C$3001,A17,'Sổ giao dịch'!$H$2:$H$3001,$F$2)))</f>
        <v/>
      </c>
      <c r="D17" s="10">
        <f>IF(OR(A17="",'Danh mục'!C5=""),"",'Danh mục'!C5)</f>
        <v/>
      </c>
      <c r="E17" s="10">
        <f>IF(D17="","",D17-C17)</f>
        <v/>
      </c>
      <c r="F17" s="13">
        <f>IF(OR(D17="",D17=0),"",C17/D17)</f>
        <v/>
      </c>
    </row>
    <row r="18">
      <c r="A18" s="16">
        <f>IF('Danh mục'!A6="","",'Danh mục'!A6)</f>
        <v/>
      </c>
      <c r="B18" s="16">
        <f>IF(A18="","",'Danh mục'!B6)</f>
        <v/>
      </c>
      <c r="C18" s="10">
        <f>IF(A18="","",IF(B18="Thu",SUMIFS('Sổ giao dịch'!$E$2:$E$3001,'Sổ giao dịch'!$C$2:$C$3001,A18,'Sổ giao dịch'!$H$2:$H$3001,$F$2),SUMIFS('Sổ giao dịch'!$F$2:$F$3001,'Sổ giao dịch'!$C$2:$C$3001,A18,'Sổ giao dịch'!$H$2:$H$3001,$F$2)))</f>
        <v/>
      </c>
      <c r="D18" s="10">
        <f>IF(OR(A18="",'Danh mục'!C6=""),"",'Danh mục'!C6)</f>
        <v/>
      </c>
      <c r="E18" s="10">
        <f>IF(D18="","",D18-C18)</f>
        <v/>
      </c>
      <c r="F18" s="13">
        <f>IF(OR(D18="",D18=0),"",C18/D18)</f>
        <v/>
      </c>
    </row>
    <row r="19">
      <c r="A19" s="16">
        <f>IF('Danh mục'!A7="","",'Danh mục'!A7)</f>
        <v/>
      </c>
      <c r="B19" s="16">
        <f>IF(A19="","",'Danh mục'!B7)</f>
        <v/>
      </c>
      <c r="C19" s="10">
        <f>IF(A19="","",IF(B19="Thu",SUMIFS('Sổ giao dịch'!$E$2:$E$3001,'Sổ giao dịch'!$C$2:$C$3001,A19,'Sổ giao dịch'!$H$2:$H$3001,$F$2),SUMIFS('Sổ giao dịch'!$F$2:$F$3001,'Sổ giao dịch'!$C$2:$C$3001,A19,'Sổ giao dịch'!$H$2:$H$3001,$F$2)))</f>
        <v/>
      </c>
      <c r="D19" s="10">
        <f>IF(OR(A19="",'Danh mục'!C7=""),"",'Danh mục'!C7)</f>
        <v/>
      </c>
      <c r="E19" s="10">
        <f>IF(D19="","",D19-C19)</f>
        <v/>
      </c>
      <c r="F19" s="13">
        <f>IF(OR(D19="",D19=0),"",C19/D19)</f>
        <v/>
      </c>
    </row>
    <row r="20">
      <c r="A20" s="16">
        <f>IF('Danh mục'!A8="","",'Danh mục'!A8)</f>
        <v/>
      </c>
      <c r="B20" s="16">
        <f>IF(A20="","",'Danh mục'!B8)</f>
        <v/>
      </c>
      <c r="C20" s="10">
        <f>IF(A20="","",IF(B20="Thu",SUMIFS('Sổ giao dịch'!$E$2:$E$3001,'Sổ giao dịch'!$C$2:$C$3001,A20,'Sổ giao dịch'!$H$2:$H$3001,$F$2),SUMIFS('Sổ giao dịch'!$F$2:$F$3001,'Sổ giao dịch'!$C$2:$C$3001,A20,'Sổ giao dịch'!$H$2:$H$3001,$F$2)))</f>
        <v/>
      </c>
      <c r="D20" s="10">
        <f>IF(OR(A20="",'Danh mục'!C8=""),"",'Danh mục'!C8)</f>
        <v/>
      </c>
      <c r="E20" s="10">
        <f>IF(D20="","",D20-C20)</f>
        <v/>
      </c>
      <c r="F20" s="13">
        <f>IF(OR(D20="",D20=0),"",C20/D20)</f>
        <v/>
      </c>
    </row>
    <row r="21">
      <c r="A21" s="16">
        <f>IF('Danh mục'!A9="","",'Danh mục'!A9)</f>
        <v/>
      </c>
      <c r="B21" s="16">
        <f>IF(A21="","",'Danh mục'!B9)</f>
        <v/>
      </c>
      <c r="C21" s="10">
        <f>IF(A21="","",IF(B21="Thu",SUMIFS('Sổ giao dịch'!$E$2:$E$3001,'Sổ giao dịch'!$C$2:$C$3001,A21,'Sổ giao dịch'!$H$2:$H$3001,$F$2),SUMIFS('Sổ giao dịch'!$F$2:$F$3001,'Sổ giao dịch'!$C$2:$C$3001,A21,'Sổ giao dịch'!$H$2:$H$3001,$F$2)))</f>
        <v/>
      </c>
      <c r="D21" s="10">
        <f>IF(OR(A21="",'Danh mục'!C9=""),"",'Danh mục'!C9)</f>
        <v/>
      </c>
      <c r="E21" s="10">
        <f>IF(D21="","",D21-C21)</f>
        <v/>
      </c>
      <c r="F21" s="13">
        <f>IF(OR(D21="",D21=0),"",C21/D21)</f>
        <v/>
      </c>
    </row>
    <row r="22">
      <c r="A22" s="16">
        <f>IF('Danh mục'!A10="","",'Danh mục'!A10)</f>
        <v/>
      </c>
      <c r="B22" s="16">
        <f>IF(A22="","",'Danh mục'!B10)</f>
        <v/>
      </c>
      <c r="C22" s="10">
        <f>IF(A22="","",IF(B22="Thu",SUMIFS('Sổ giao dịch'!$E$2:$E$3001,'Sổ giao dịch'!$C$2:$C$3001,A22,'Sổ giao dịch'!$H$2:$H$3001,$F$2),SUMIFS('Sổ giao dịch'!$F$2:$F$3001,'Sổ giao dịch'!$C$2:$C$3001,A22,'Sổ giao dịch'!$H$2:$H$3001,$F$2)))</f>
        <v/>
      </c>
      <c r="D22" s="10">
        <f>IF(OR(A22="",'Danh mục'!C10=""),"",'Danh mục'!C10)</f>
        <v/>
      </c>
      <c r="E22" s="10">
        <f>IF(D22="","",D22-C22)</f>
        <v/>
      </c>
      <c r="F22" s="13">
        <f>IF(OR(D22="",D22=0),"",C22/D22)</f>
        <v/>
      </c>
    </row>
    <row r="23">
      <c r="A23" s="16">
        <f>IF('Danh mục'!A11="","",'Danh mục'!A11)</f>
        <v/>
      </c>
      <c r="B23" s="16">
        <f>IF(A23="","",'Danh mục'!B11)</f>
        <v/>
      </c>
      <c r="C23" s="10">
        <f>IF(A23="","",IF(B23="Thu",SUMIFS('Sổ giao dịch'!$E$2:$E$3001,'Sổ giao dịch'!$C$2:$C$3001,A23,'Sổ giao dịch'!$H$2:$H$3001,$F$2),SUMIFS('Sổ giao dịch'!$F$2:$F$3001,'Sổ giao dịch'!$C$2:$C$3001,A23,'Sổ giao dịch'!$H$2:$H$3001,$F$2)))</f>
        <v/>
      </c>
      <c r="D23" s="10">
        <f>IF(OR(A23="",'Danh mục'!C11=""),"",'Danh mục'!C11)</f>
        <v/>
      </c>
      <c r="E23" s="10">
        <f>IF(D23="","",D23-C23)</f>
        <v/>
      </c>
      <c r="F23" s="13">
        <f>IF(OR(D23="",D23=0),"",C23/D23)</f>
        <v/>
      </c>
    </row>
    <row r="24">
      <c r="A24" s="16">
        <f>IF('Danh mục'!A12="","",'Danh mục'!A12)</f>
        <v/>
      </c>
      <c r="B24" s="16">
        <f>IF(A24="","",'Danh mục'!B12)</f>
        <v/>
      </c>
      <c r="C24" s="10">
        <f>IF(A24="","",IF(B24="Thu",SUMIFS('Sổ giao dịch'!$E$2:$E$3001,'Sổ giao dịch'!$C$2:$C$3001,A24,'Sổ giao dịch'!$H$2:$H$3001,$F$2),SUMIFS('Sổ giao dịch'!$F$2:$F$3001,'Sổ giao dịch'!$C$2:$C$3001,A24,'Sổ giao dịch'!$H$2:$H$3001,$F$2)))</f>
        <v/>
      </c>
      <c r="D24" s="10">
        <f>IF(OR(A24="",'Danh mục'!C12=""),"",'Danh mục'!C12)</f>
        <v/>
      </c>
      <c r="E24" s="10">
        <f>IF(D24="","",D24-C24)</f>
        <v/>
      </c>
      <c r="F24" s="13">
        <f>IF(OR(D24="",D24=0),"",C24/D24)</f>
        <v/>
      </c>
    </row>
    <row r="25">
      <c r="A25" s="16">
        <f>IF('Danh mục'!A13="","",'Danh mục'!A13)</f>
        <v/>
      </c>
      <c r="B25" s="16">
        <f>IF(A25="","",'Danh mục'!B13)</f>
        <v/>
      </c>
      <c r="C25" s="10">
        <f>IF(A25="","",IF(B25="Thu",SUMIFS('Sổ giao dịch'!$E$2:$E$3001,'Sổ giao dịch'!$C$2:$C$3001,A25,'Sổ giao dịch'!$H$2:$H$3001,$F$2),SUMIFS('Sổ giao dịch'!$F$2:$F$3001,'Sổ giao dịch'!$C$2:$C$3001,A25,'Sổ giao dịch'!$H$2:$H$3001,$F$2)))</f>
        <v/>
      </c>
      <c r="D25" s="10">
        <f>IF(OR(A25="",'Danh mục'!C13=""),"",'Danh mục'!C13)</f>
        <v/>
      </c>
      <c r="E25" s="10">
        <f>IF(D25="","",D25-C25)</f>
        <v/>
      </c>
      <c r="F25" s="13">
        <f>IF(OR(D25="",D25=0),"",C25/D25)</f>
        <v/>
      </c>
    </row>
    <row r="26">
      <c r="A26" s="16">
        <f>IF('Danh mục'!A14="","",'Danh mục'!A14)</f>
        <v/>
      </c>
      <c r="B26" s="16">
        <f>IF(A26="","",'Danh mục'!B14)</f>
        <v/>
      </c>
      <c r="C26" s="10">
        <f>IF(A26="","",IF(B26="Thu",SUMIFS('Sổ giao dịch'!$E$2:$E$3001,'Sổ giao dịch'!$C$2:$C$3001,A26,'Sổ giao dịch'!$H$2:$H$3001,$F$2),SUMIFS('Sổ giao dịch'!$F$2:$F$3001,'Sổ giao dịch'!$C$2:$C$3001,A26,'Sổ giao dịch'!$H$2:$H$3001,$F$2)))</f>
        <v/>
      </c>
      <c r="D26" s="10">
        <f>IF(OR(A26="",'Danh mục'!C14=""),"",'Danh mục'!C14)</f>
        <v/>
      </c>
      <c r="E26" s="10">
        <f>IF(D26="","",D26-C26)</f>
        <v/>
      </c>
      <c r="F26" s="13">
        <f>IF(OR(D26="",D26=0),"",C26/D26)</f>
        <v/>
      </c>
    </row>
    <row r="27">
      <c r="A27" s="16">
        <f>IF('Danh mục'!A15="","",'Danh mục'!A15)</f>
        <v/>
      </c>
      <c r="B27" s="16">
        <f>IF(A27="","",'Danh mục'!B15)</f>
        <v/>
      </c>
      <c r="C27" s="10">
        <f>IF(A27="","",IF(B27="Thu",SUMIFS('Sổ giao dịch'!$E$2:$E$3001,'Sổ giao dịch'!$C$2:$C$3001,A27,'Sổ giao dịch'!$H$2:$H$3001,$F$2),SUMIFS('Sổ giao dịch'!$F$2:$F$3001,'Sổ giao dịch'!$C$2:$C$3001,A27,'Sổ giao dịch'!$H$2:$H$3001,$F$2)))</f>
        <v/>
      </c>
      <c r="D27" s="10">
        <f>IF(OR(A27="",'Danh mục'!C15=""),"",'Danh mục'!C15)</f>
        <v/>
      </c>
      <c r="E27" s="10">
        <f>IF(D27="","",D27-C27)</f>
        <v/>
      </c>
      <c r="F27" s="13">
        <f>IF(OR(D27="",D27=0),"",C27/D27)</f>
        <v/>
      </c>
    </row>
    <row r="28">
      <c r="A28" s="16">
        <f>IF('Danh mục'!A16="","",'Danh mục'!A16)</f>
        <v/>
      </c>
      <c r="B28" s="16">
        <f>IF(A28="","",'Danh mục'!B16)</f>
        <v/>
      </c>
      <c r="C28" s="10">
        <f>IF(A28="","",IF(B28="Thu",SUMIFS('Sổ giao dịch'!$E$2:$E$3001,'Sổ giao dịch'!$C$2:$C$3001,A28,'Sổ giao dịch'!$H$2:$H$3001,$F$2),SUMIFS('Sổ giao dịch'!$F$2:$F$3001,'Sổ giao dịch'!$C$2:$C$3001,A28,'Sổ giao dịch'!$H$2:$H$3001,$F$2)))</f>
        <v/>
      </c>
      <c r="D28" s="10">
        <f>IF(OR(A28="",'Danh mục'!C16=""),"",'Danh mục'!C16)</f>
        <v/>
      </c>
      <c r="E28" s="10">
        <f>IF(D28="","",D28-C28)</f>
        <v/>
      </c>
      <c r="F28" s="13">
        <f>IF(OR(D28="",D28=0),"",C28/D28)</f>
        <v/>
      </c>
    </row>
    <row r="29">
      <c r="A29" s="16">
        <f>IF('Danh mục'!A17="","",'Danh mục'!A17)</f>
        <v/>
      </c>
      <c r="B29" s="16">
        <f>IF(A29="","",'Danh mục'!B17)</f>
        <v/>
      </c>
      <c r="C29" s="10">
        <f>IF(A29="","",IF(B29="Thu",SUMIFS('Sổ giao dịch'!$E$2:$E$3001,'Sổ giao dịch'!$C$2:$C$3001,A29,'Sổ giao dịch'!$H$2:$H$3001,$F$2),SUMIFS('Sổ giao dịch'!$F$2:$F$3001,'Sổ giao dịch'!$C$2:$C$3001,A29,'Sổ giao dịch'!$H$2:$H$3001,$F$2)))</f>
        <v/>
      </c>
      <c r="D29" s="10">
        <f>IF(OR(A29="",'Danh mục'!C17=""),"",'Danh mục'!C17)</f>
        <v/>
      </c>
      <c r="E29" s="10">
        <f>IF(D29="","",D29-C29)</f>
        <v/>
      </c>
      <c r="F29" s="13">
        <f>IF(OR(D29="",D29=0),"",C29/D29)</f>
        <v/>
      </c>
    </row>
    <row r="30">
      <c r="A30" s="16">
        <f>IF('Danh mục'!A18="","",'Danh mục'!A18)</f>
        <v/>
      </c>
      <c r="B30" s="16">
        <f>IF(A30="","",'Danh mục'!B18)</f>
        <v/>
      </c>
      <c r="C30" s="10">
        <f>IF(A30="","",IF(B30="Thu",SUMIFS('Sổ giao dịch'!$E$2:$E$3001,'Sổ giao dịch'!$C$2:$C$3001,A30,'Sổ giao dịch'!$H$2:$H$3001,$F$2),SUMIFS('Sổ giao dịch'!$F$2:$F$3001,'Sổ giao dịch'!$C$2:$C$3001,A30,'Sổ giao dịch'!$H$2:$H$3001,$F$2)))</f>
        <v/>
      </c>
      <c r="D30" s="10">
        <f>IF(OR(A30="",'Danh mục'!C18=""),"",'Danh mục'!C18)</f>
        <v/>
      </c>
      <c r="E30" s="10">
        <f>IF(D30="","",D30-C30)</f>
        <v/>
      </c>
      <c r="F30" s="13">
        <f>IF(OR(D30="",D30=0),"",C30/D30)</f>
        <v/>
      </c>
    </row>
    <row r="31">
      <c r="A31" s="16">
        <f>IF('Danh mục'!A19="","",'Danh mục'!A19)</f>
        <v/>
      </c>
      <c r="B31" s="16">
        <f>IF(A31="","",'Danh mục'!B19)</f>
        <v/>
      </c>
      <c r="C31" s="10">
        <f>IF(A31="","",IF(B31="Thu",SUMIFS('Sổ giao dịch'!$E$2:$E$3001,'Sổ giao dịch'!$C$2:$C$3001,A31,'Sổ giao dịch'!$H$2:$H$3001,$F$2),SUMIFS('Sổ giao dịch'!$F$2:$F$3001,'Sổ giao dịch'!$C$2:$C$3001,A31,'Sổ giao dịch'!$H$2:$H$3001,$F$2)))</f>
        <v/>
      </c>
      <c r="D31" s="10">
        <f>IF(OR(A31="",'Danh mục'!C19=""),"",'Danh mục'!C19)</f>
        <v/>
      </c>
      <c r="E31" s="10">
        <f>IF(D31="","",D31-C31)</f>
        <v/>
      </c>
      <c r="F31" s="13">
        <f>IF(OR(D31="",D31=0),"",C31/D31)</f>
        <v/>
      </c>
    </row>
    <row r="32">
      <c r="A32" s="16">
        <f>IF('Danh mục'!A20="","",'Danh mục'!A20)</f>
        <v/>
      </c>
      <c r="B32" s="16">
        <f>IF(A32="","",'Danh mục'!B20)</f>
        <v/>
      </c>
      <c r="C32" s="10">
        <f>IF(A32="","",IF(B32="Thu",SUMIFS('Sổ giao dịch'!$E$2:$E$3001,'Sổ giao dịch'!$C$2:$C$3001,A32,'Sổ giao dịch'!$H$2:$H$3001,$F$2),SUMIFS('Sổ giao dịch'!$F$2:$F$3001,'Sổ giao dịch'!$C$2:$C$3001,A32,'Sổ giao dịch'!$H$2:$H$3001,$F$2)))</f>
        <v/>
      </c>
      <c r="D32" s="10">
        <f>IF(OR(A32="",'Danh mục'!C20=""),"",'Danh mục'!C20)</f>
        <v/>
      </c>
      <c r="E32" s="10">
        <f>IF(D32="","",D32-C32)</f>
        <v/>
      </c>
      <c r="F32" s="13">
        <f>IF(OR(D32="",D32=0),"",C32/D32)</f>
        <v/>
      </c>
    </row>
    <row r="33">
      <c r="A33" s="16">
        <f>IF('Danh mục'!A21="","",'Danh mục'!A21)</f>
        <v/>
      </c>
      <c r="B33" s="16">
        <f>IF(A33="","",'Danh mục'!B21)</f>
        <v/>
      </c>
      <c r="C33" s="10">
        <f>IF(A33="","",IF(B33="Thu",SUMIFS('Sổ giao dịch'!$E$2:$E$3001,'Sổ giao dịch'!$C$2:$C$3001,A33,'Sổ giao dịch'!$H$2:$H$3001,$F$2),SUMIFS('Sổ giao dịch'!$F$2:$F$3001,'Sổ giao dịch'!$C$2:$C$3001,A33,'Sổ giao dịch'!$H$2:$H$3001,$F$2)))</f>
        <v/>
      </c>
      <c r="D33" s="10">
        <f>IF(OR(A33="",'Danh mục'!C21=""),"",'Danh mục'!C21)</f>
        <v/>
      </c>
      <c r="E33" s="10">
        <f>IF(D33="","",D33-C33)</f>
        <v/>
      </c>
      <c r="F33" s="13">
        <f>IF(OR(D33="",D33=0),"",C33/D33)</f>
        <v/>
      </c>
    </row>
    <row r="34">
      <c r="A34" s="16">
        <f>IF('Danh mục'!A22="","",'Danh mục'!A22)</f>
        <v/>
      </c>
      <c r="B34" s="16">
        <f>IF(A34="","",'Danh mục'!B22)</f>
        <v/>
      </c>
      <c r="C34" s="10">
        <f>IF(A34="","",IF(B34="Thu",SUMIFS('Sổ giao dịch'!$E$2:$E$3001,'Sổ giao dịch'!$C$2:$C$3001,A34,'Sổ giao dịch'!$H$2:$H$3001,$F$2),SUMIFS('Sổ giao dịch'!$F$2:$F$3001,'Sổ giao dịch'!$C$2:$C$3001,A34,'Sổ giao dịch'!$H$2:$H$3001,$F$2)))</f>
        <v/>
      </c>
      <c r="D34" s="10">
        <f>IF(OR(A34="",'Danh mục'!C22=""),"",'Danh mục'!C22)</f>
        <v/>
      </c>
      <c r="E34" s="10">
        <f>IF(D34="","",D34-C34)</f>
        <v/>
      </c>
      <c r="F34" s="13">
        <f>IF(OR(D34="",D34=0),"",C34/D34)</f>
        <v/>
      </c>
    </row>
    <row r="35">
      <c r="A35" s="16">
        <f>IF('Danh mục'!A23="","",'Danh mục'!A23)</f>
        <v/>
      </c>
      <c r="B35" s="16">
        <f>IF(A35="","",'Danh mục'!B23)</f>
        <v/>
      </c>
      <c r="C35" s="10">
        <f>IF(A35="","",IF(B35="Thu",SUMIFS('Sổ giao dịch'!$E$2:$E$3001,'Sổ giao dịch'!$C$2:$C$3001,A35,'Sổ giao dịch'!$H$2:$H$3001,$F$2),SUMIFS('Sổ giao dịch'!$F$2:$F$3001,'Sổ giao dịch'!$C$2:$C$3001,A35,'Sổ giao dịch'!$H$2:$H$3001,$F$2)))</f>
        <v/>
      </c>
      <c r="D35" s="10">
        <f>IF(OR(A35="",'Danh mục'!C23=""),"",'Danh mục'!C23)</f>
        <v/>
      </c>
      <c r="E35" s="10">
        <f>IF(D35="","",D35-C35)</f>
        <v/>
      </c>
      <c r="F35" s="13">
        <f>IF(OR(D35="",D35=0),"",C35/D35)</f>
        <v/>
      </c>
    </row>
    <row r="36">
      <c r="A36" s="16">
        <f>IF('Danh mục'!A24="","",'Danh mục'!A24)</f>
        <v/>
      </c>
      <c r="B36" s="16">
        <f>IF(A36="","",'Danh mục'!B24)</f>
        <v/>
      </c>
      <c r="C36" s="10">
        <f>IF(A36="","",IF(B36="Thu",SUMIFS('Sổ giao dịch'!$E$2:$E$3001,'Sổ giao dịch'!$C$2:$C$3001,A36,'Sổ giao dịch'!$H$2:$H$3001,$F$2),SUMIFS('Sổ giao dịch'!$F$2:$F$3001,'Sổ giao dịch'!$C$2:$C$3001,A36,'Sổ giao dịch'!$H$2:$H$3001,$F$2)))</f>
        <v/>
      </c>
      <c r="D36" s="10">
        <f>IF(OR(A36="",'Danh mục'!C24=""),"",'Danh mục'!C24)</f>
        <v/>
      </c>
      <c r="E36" s="10">
        <f>IF(D36="","",D36-C36)</f>
        <v/>
      </c>
      <c r="F36" s="13">
        <f>IF(OR(D36="",D36=0),"",C36/D36)</f>
        <v/>
      </c>
    </row>
    <row r="37">
      <c r="A37" s="16">
        <f>IF('Danh mục'!A25="","",'Danh mục'!A25)</f>
        <v/>
      </c>
      <c r="B37" s="16">
        <f>IF(A37="","",'Danh mục'!B25)</f>
        <v/>
      </c>
      <c r="C37" s="10">
        <f>IF(A37="","",IF(B37="Thu",SUMIFS('Sổ giao dịch'!$E$2:$E$3001,'Sổ giao dịch'!$C$2:$C$3001,A37,'Sổ giao dịch'!$H$2:$H$3001,$F$2),SUMIFS('Sổ giao dịch'!$F$2:$F$3001,'Sổ giao dịch'!$C$2:$C$3001,A37,'Sổ giao dịch'!$H$2:$H$3001,$F$2)))</f>
        <v/>
      </c>
      <c r="D37" s="10">
        <f>IF(OR(A37="",'Danh mục'!C25=""),"",'Danh mục'!C25)</f>
        <v/>
      </c>
      <c r="E37" s="10">
        <f>IF(D37="","",D37-C37)</f>
        <v/>
      </c>
      <c r="F37" s="13">
        <f>IF(OR(D37="",D37=0),"",C37/D37)</f>
        <v/>
      </c>
    </row>
    <row r="38">
      <c r="A38" s="16">
        <f>IF('Danh mục'!A26="","",'Danh mục'!A26)</f>
        <v/>
      </c>
      <c r="B38" s="16">
        <f>IF(A38="","",'Danh mục'!B26)</f>
        <v/>
      </c>
      <c r="C38" s="10">
        <f>IF(A38="","",IF(B38="Thu",SUMIFS('Sổ giao dịch'!$E$2:$E$3001,'Sổ giao dịch'!$C$2:$C$3001,A38,'Sổ giao dịch'!$H$2:$H$3001,$F$2),SUMIFS('Sổ giao dịch'!$F$2:$F$3001,'Sổ giao dịch'!$C$2:$C$3001,A38,'Sổ giao dịch'!$H$2:$H$3001,$F$2)))</f>
        <v/>
      </c>
      <c r="D38" s="10">
        <f>IF(OR(A38="",'Danh mục'!C26=""),"",'Danh mục'!C26)</f>
        <v/>
      </c>
      <c r="E38" s="10">
        <f>IF(D38="","",D38-C38)</f>
        <v/>
      </c>
      <c r="F38" s="13">
        <f>IF(OR(D38="",D38=0),"",C38/D38)</f>
        <v/>
      </c>
    </row>
    <row r="39">
      <c r="A39" s="16">
        <f>IF('Danh mục'!A27="","",'Danh mục'!A27)</f>
        <v/>
      </c>
      <c r="B39" s="16">
        <f>IF(A39="","",'Danh mục'!B27)</f>
        <v/>
      </c>
      <c r="C39" s="10">
        <f>IF(A39="","",IF(B39="Thu",SUMIFS('Sổ giao dịch'!$E$2:$E$3001,'Sổ giao dịch'!$C$2:$C$3001,A39,'Sổ giao dịch'!$H$2:$H$3001,$F$2),SUMIFS('Sổ giao dịch'!$F$2:$F$3001,'Sổ giao dịch'!$C$2:$C$3001,A39,'Sổ giao dịch'!$H$2:$H$3001,$F$2)))</f>
        <v/>
      </c>
      <c r="D39" s="10">
        <f>IF(OR(A39="",'Danh mục'!C27=""),"",'Danh mục'!C27)</f>
        <v/>
      </c>
      <c r="E39" s="10">
        <f>IF(D39="","",D39-C39)</f>
        <v/>
      </c>
      <c r="F39" s="13">
        <f>IF(OR(D39="",D39=0),"",C39/D39)</f>
        <v/>
      </c>
    </row>
    <row r="40">
      <c r="A40" s="16">
        <f>IF('Danh mục'!A28="","",'Danh mục'!A28)</f>
        <v/>
      </c>
      <c r="B40" s="16">
        <f>IF(A40="","",'Danh mục'!B28)</f>
        <v/>
      </c>
      <c r="C40" s="10">
        <f>IF(A40="","",IF(B40="Thu",SUMIFS('Sổ giao dịch'!$E$2:$E$3001,'Sổ giao dịch'!$C$2:$C$3001,A40,'Sổ giao dịch'!$H$2:$H$3001,$F$2),SUMIFS('Sổ giao dịch'!$F$2:$F$3001,'Sổ giao dịch'!$C$2:$C$3001,A40,'Sổ giao dịch'!$H$2:$H$3001,$F$2)))</f>
        <v/>
      </c>
      <c r="D40" s="10">
        <f>IF(OR(A40="",'Danh mục'!C28=""),"",'Danh mục'!C28)</f>
        <v/>
      </c>
      <c r="E40" s="10">
        <f>IF(D40="","",D40-C40)</f>
        <v/>
      </c>
      <c r="F40" s="13">
        <f>IF(OR(D40="",D40=0),"",C40/D40)</f>
        <v/>
      </c>
    </row>
    <row r="41">
      <c r="A41" s="16">
        <f>IF('Danh mục'!A29="","",'Danh mục'!A29)</f>
        <v/>
      </c>
      <c r="B41" s="16">
        <f>IF(A41="","",'Danh mục'!B29)</f>
        <v/>
      </c>
      <c r="C41" s="10">
        <f>IF(A41="","",IF(B41="Thu",SUMIFS('Sổ giao dịch'!$E$2:$E$3001,'Sổ giao dịch'!$C$2:$C$3001,A41,'Sổ giao dịch'!$H$2:$H$3001,$F$2),SUMIFS('Sổ giao dịch'!$F$2:$F$3001,'Sổ giao dịch'!$C$2:$C$3001,A41,'Sổ giao dịch'!$H$2:$H$3001,$F$2)))</f>
        <v/>
      </c>
      <c r="D41" s="10">
        <f>IF(OR(A41="",'Danh mục'!C29=""),"",'Danh mục'!C29)</f>
        <v/>
      </c>
      <c r="E41" s="10">
        <f>IF(D41="","",D41-C41)</f>
        <v/>
      </c>
      <c r="F41" s="13">
        <f>IF(OR(D41="",D41=0),"",C41/D41)</f>
        <v/>
      </c>
    </row>
    <row r="42">
      <c r="A42" s="16">
        <f>IF('Danh mục'!A30="","",'Danh mục'!A30)</f>
        <v/>
      </c>
      <c r="B42" s="16">
        <f>IF(A42="","",'Danh mục'!B30)</f>
        <v/>
      </c>
      <c r="C42" s="10">
        <f>IF(A42="","",IF(B42="Thu",SUMIFS('Sổ giao dịch'!$E$2:$E$3001,'Sổ giao dịch'!$C$2:$C$3001,A42,'Sổ giao dịch'!$H$2:$H$3001,$F$2),SUMIFS('Sổ giao dịch'!$F$2:$F$3001,'Sổ giao dịch'!$C$2:$C$3001,A42,'Sổ giao dịch'!$H$2:$H$3001,$F$2)))</f>
        <v/>
      </c>
      <c r="D42" s="10">
        <f>IF(OR(A42="",'Danh mục'!C30=""),"",'Danh mục'!C30)</f>
        <v/>
      </c>
      <c r="E42" s="10">
        <f>IF(D42="","",D42-C42)</f>
        <v/>
      </c>
      <c r="F42" s="13">
        <f>IF(OR(D42="",D42=0),"",C42/D42)</f>
        <v/>
      </c>
    </row>
    <row r="43">
      <c r="A43" s="16">
        <f>IF('Danh mục'!A31="","",'Danh mục'!A31)</f>
        <v/>
      </c>
      <c r="B43" s="16">
        <f>IF(A43="","",'Danh mục'!B31)</f>
        <v/>
      </c>
      <c r="C43" s="10">
        <f>IF(A43="","",IF(B43="Thu",SUMIFS('Sổ giao dịch'!$E$2:$E$3001,'Sổ giao dịch'!$C$2:$C$3001,A43,'Sổ giao dịch'!$H$2:$H$3001,$F$2),SUMIFS('Sổ giao dịch'!$F$2:$F$3001,'Sổ giao dịch'!$C$2:$C$3001,A43,'Sổ giao dịch'!$H$2:$H$3001,$F$2)))</f>
        <v/>
      </c>
      <c r="D43" s="10">
        <f>IF(OR(A43="",'Danh mục'!C31=""),"",'Danh mục'!C31)</f>
        <v/>
      </c>
      <c r="E43" s="10">
        <f>IF(D43="","",D43-C43)</f>
        <v/>
      </c>
      <c r="F43" s="13">
        <f>IF(OR(D43="",D43=0),"",C43/D43)</f>
        <v/>
      </c>
    </row>
  </sheetData>
  <conditionalFormatting sqref="F14:F43">
    <cfRule type="cellIs" priority="1" operator="greaterThan" dxfId="0">
      <formula>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44" customWidth="1" min="4" max="4"/>
    <col width="15" customWidth="1" min="5" max="5"/>
    <col width="15" customWidth="1" min="6" max="6"/>
    <col width="24" customWidth="1" min="7" max="7"/>
    <col width="14" customWidth="1" min="8" max="8"/>
  </cols>
  <sheetData>
    <row r="1">
      <c r="A1" s="17" t="inlineStr">
        <is>
          <t>Ngày</t>
        </is>
      </c>
      <c r="B1" s="17" t="inlineStr">
        <is>
          <t>Nhóm</t>
        </is>
      </c>
      <c r="C1" s="17" t="inlineStr">
        <is>
          <t>Danh mục</t>
        </is>
      </c>
      <c r="D1" s="17" t="inlineStr">
        <is>
          <t>Diễn giải</t>
        </is>
      </c>
      <c r="E1" s="17" t="inlineStr">
        <is>
          <t>Thu</t>
        </is>
      </c>
      <c r="F1" s="17" t="inlineStr">
        <is>
          <t>Chi</t>
        </is>
      </c>
      <c r="G1" s="17" t="inlineStr">
        <is>
          <t>Ghi chú</t>
        </is>
      </c>
      <c r="H1" s="17" t="inlineStr">
        <is>
          <t>Tháng (tự tính)</t>
        </is>
      </c>
    </row>
    <row r="2">
      <c r="A2" s="18" t="n">
        <v>46239</v>
      </c>
      <c r="B2" s="19" t="inlineStr">
        <is>
          <t>Cố định</t>
        </is>
      </c>
      <c r="C2" s="19" t="inlineStr">
        <is>
          <t>Lương &amp; hoa hồng</t>
        </is>
      </c>
      <c r="D2" s="19" t="inlineStr">
        <is>
          <t>Lương ck + hoa hồng</t>
        </is>
      </c>
      <c r="E2" s="20" t="n">
        <v>54000000</v>
      </c>
      <c r="F2" s="20" t="n"/>
      <c r="G2" s="19" t="n"/>
      <c r="H2" s="21">
        <f>IF(A2="","",YEAR(A2)*100+MONTH(A2))</f>
        <v/>
      </c>
    </row>
    <row r="3">
      <c r="A3" s="18" t="n">
        <v>46239</v>
      </c>
      <c r="B3" s="19" t="inlineStr">
        <is>
          <t>Cố định</t>
        </is>
      </c>
      <c r="C3" s="19" t="inlineStr">
        <is>
          <t>Lương &amp; hoa hồng</t>
        </is>
      </c>
      <c r="D3" s="19" t="inlineStr">
        <is>
          <t>Lương vk + lãi làm thẻ + vé máy bay</t>
        </is>
      </c>
      <c r="E3" s="20" t="n">
        <v>40851000</v>
      </c>
      <c r="F3" s="20" t="n"/>
      <c r="G3" s="19" t="n"/>
      <c r="H3" s="21">
        <f>IF(A3="","",YEAR(A3)*100+MONTH(A3))</f>
        <v/>
      </c>
    </row>
    <row r="4">
      <c r="A4" s="18" t="n">
        <v>46239</v>
      </c>
      <c r="B4" s="19" t="inlineStr">
        <is>
          <t>Cố định</t>
        </is>
      </c>
      <c r="C4" s="19" t="inlineStr">
        <is>
          <t>Ăn uống &amp; đi chợ</t>
        </is>
      </c>
      <c r="D4" s="19" t="inlineStr">
        <is>
          <t>Chợ + gas</t>
        </is>
      </c>
      <c r="E4" s="20" t="n"/>
      <c r="F4" s="20" t="n">
        <v>3000000</v>
      </c>
      <c r="G4" s="19" t="n"/>
      <c r="H4" s="21">
        <f>IF(A4="","",YEAR(A4)*100+MONTH(A4))</f>
        <v/>
      </c>
    </row>
    <row r="5">
      <c r="A5" s="18" t="n">
        <v>46239</v>
      </c>
      <c r="B5" s="19" t="inlineStr">
        <is>
          <t>Cố định</t>
        </is>
      </c>
      <c r="C5" s="19" t="inlineStr">
        <is>
          <t>Lãi vay căn hộ FPT</t>
        </is>
      </c>
      <c r="D5" s="19" t="inlineStr">
        <is>
          <t>Lãi căn hộ FPT T8</t>
        </is>
      </c>
      <c r="E5" s="20" t="n"/>
      <c r="F5" s="20" t="n">
        <v>8014000</v>
      </c>
      <c r="G5" s="19" t="n"/>
      <c r="H5" s="21">
        <f>IF(A5="","",YEAR(A5)*100+MONTH(A5))</f>
        <v/>
      </c>
    </row>
    <row r="6">
      <c r="A6" s="18" t="n">
        <v>46239</v>
      </c>
      <c r="B6" s="19" t="inlineStr">
        <is>
          <t>Cố định</t>
        </is>
      </c>
      <c r="C6" s="19" t="inlineStr">
        <is>
          <t>Bảo hiểm (BHXH)</t>
        </is>
      </c>
      <c r="D6" s="19" t="inlineStr">
        <is>
          <t>BHXH T8</t>
        </is>
      </c>
      <c r="E6" s="20" t="n"/>
      <c r="F6" s="20" t="n">
        <v>1540000</v>
      </c>
      <c r="G6" s="19" t="n"/>
      <c r="H6" s="21">
        <f>IF(A6="","",YEAR(A6)*100+MONTH(A6))</f>
        <v/>
      </c>
    </row>
    <row r="7">
      <c r="A7" s="18" t="n">
        <v>46239</v>
      </c>
      <c r="B7" s="19" t="inlineStr">
        <is>
          <t>Cố định</t>
        </is>
      </c>
      <c r="C7" s="19" t="inlineStr">
        <is>
          <t>Con cái (Mon)</t>
        </is>
      </c>
      <c r="D7" s="19" t="inlineStr">
        <is>
          <t>Học Mon</t>
        </is>
      </c>
      <c r="E7" s="20" t="n"/>
      <c r="F7" s="20" t="n">
        <v>1505000</v>
      </c>
      <c r="G7" s="19" t="n"/>
      <c r="H7" s="21">
        <f>IF(A7="","",YEAR(A7)*100+MONTH(A7))</f>
        <v/>
      </c>
    </row>
    <row r="8">
      <c r="A8" s="18" t="n">
        <v>46239</v>
      </c>
      <c r="B8" s="19" t="inlineStr">
        <is>
          <t>Cố định</t>
        </is>
      </c>
      <c r="C8" s="19" t="inlineStr">
        <is>
          <t>Con cái (Mon)</t>
        </is>
      </c>
      <c r="D8" s="19" t="inlineStr">
        <is>
          <t>Sữa Mon</t>
        </is>
      </c>
      <c r="E8" s="20" t="n"/>
      <c r="F8" s="20" t="n">
        <v>562000</v>
      </c>
      <c r="G8" s="19" t="n"/>
      <c r="H8" s="21">
        <f>IF(A8="","",YEAR(A8)*100+MONTH(A8))</f>
        <v/>
      </c>
    </row>
    <row r="9">
      <c r="A9" s="18" t="n">
        <v>46239</v>
      </c>
      <c r="B9" s="19" t="inlineStr">
        <is>
          <t>Cố định</t>
        </is>
      </c>
      <c r="C9" s="19" t="inlineStr">
        <is>
          <t>Ăn uống &amp; đi chợ</t>
        </is>
      </c>
      <c r="D9" s="19" t="inlineStr">
        <is>
          <t>Ăn</t>
        </is>
      </c>
      <c r="E9" s="20" t="n"/>
      <c r="F9" s="20" t="n">
        <v>3556000</v>
      </c>
      <c r="G9" s="19" t="n"/>
      <c r="H9" s="21">
        <f>IF(A9="","",YEAR(A9)*100+MONTH(A9))</f>
        <v/>
      </c>
    </row>
    <row r="10">
      <c r="A10" s="18" t="n">
        <v>46239</v>
      </c>
      <c r="B10" s="19" t="inlineStr">
        <is>
          <t>Cố định</t>
        </is>
      </c>
      <c r="C10" s="19" t="inlineStr">
        <is>
          <t>Điện, nước, điện thoại</t>
        </is>
      </c>
      <c r="D10" s="19" t="inlineStr">
        <is>
          <t>Card</t>
        </is>
      </c>
      <c r="E10" s="20" t="n"/>
      <c r="F10" s="20" t="n">
        <v>240000</v>
      </c>
      <c r="G10" s="19" t="n"/>
      <c r="H10" s="21">
        <f>IF(A10="","",YEAR(A10)*100+MONTH(A10))</f>
        <v/>
      </c>
    </row>
    <row r="11">
      <c r="A11" s="18" t="n">
        <v>46239</v>
      </c>
      <c r="B11" s="19" t="inlineStr">
        <is>
          <t>Cố định</t>
        </is>
      </c>
      <c r="C11" s="19" t="inlineStr">
        <is>
          <t>Xăng xe &amp; gửi xe</t>
        </is>
      </c>
      <c r="D11" s="19" t="inlineStr">
        <is>
          <t>Xăng ô tô + xe máy</t>
        </is>
      </c>
      <c r="E11" s="20" t="n"/>
      <c r="F11" s="20" t="n">
        <v>493000</v>
      </c>
      <c r="G11" s="19" t="n"/>
      <c r="H11" s="21">
        <f>IF(A11="","",YEAR(A11)*100+MONTH(A11))</f>
        <v/>
      </c>
    </row>
    <row r="12">
      <c r="A12" s="18" t="n">
        <v>46239</v>
      </c>
      <c r="B12" s="19" t="inlineStr">
        <is>
          <t>Cố định</t>
        </is>
      </c>
      <c r="C12" s="19" t="inlineStr">
        <is>
          <t>Điện, nước, điện thoại</t>
        </is>
      </c>
      <c r="D12" s="19" t="inlineStr">
        <is>
          <t>Điện</t>
        </is>
      </c>
      <c r="E12" s="20" t="n"/>
      <c r="F12" s="20" t="n">
        <v>1714000</v>
      </c>
      <c r="G12" s="19" t="n"/>
      <c r="H12" s="21">
        <f>IF(A12="","",YEAR(A12)*100+MONTH(A12))</f>
        <v/>
      </c>
    </row>
    <row r="13">
      <c r="A13" s="18" t="n">
        <v>46239</v>
      </c>
      <c r="B13" s="19" t="inlineStr">
        <is>
          <t>Cố định</t>
        </is>
      </c>
      <c r="C13" s="19" t="inlineStr">
        <is>
          <t>Xăng xe &amp; gửi xe</t>
        </is>
      </c>
      <c r="D13" s="19" t="inlineStr">
        <is>
          <t>Bãi xe T8</t>
        </is>
      </c>
      <c r="E13" s="20" t="n"/>
      <c r="F13" s="20" t="n">
        <v>800000</v>
      </c>
      <c r="G13" s="19" t="n"/>
      <c r="H13" s="21">
        <f>IF(A13="","",YEAR(A13)*100+MONTH(A13))</f>
        <v/>
      </c>
    </row>
    <row r="14">
      <c r="A14" s="18" t="n">
        <v>46239</v>
      </c>
      <c r="B14" s="19" t="inlineStr">
        <is>
          <t>Phát sinh</t>
        </is>
      </c>
      <c r="C14" s="19" t="inlineStr">
        <is>
          <t>Giao lưu, ăn nhậu</t>
        </is>
      </c>
      <c r="D14" s="19" t="inlineStr">
        <is>
          <t>Nhậu Thùy + A Phụng</t>
        </is>
      </c>
      <c r="E14" s="20" t="n"/>
      <c r="F14" s="20" t="n">
        <v>1168000</v>
      </c>
      <c r="G14" s="19" t="n"/>
      <c r="H14" s="21">
        <f>IF(A14="","",YEAR(A14)*100+MONTH(A14))</f>
        <v/>
      </c>
    </row>
    <row r="15">
      <c r="A15" s="18" t="n">
        <v>46239</v>
      </c>
      <c r="B15" s="19" t="inlineStr">
        <is>
          <t>Phát sinh</t>
        </is>
      </c>
      <c r="C15" s="19" t="inlineStr">
        <is>
          <t>Mua sắm cá nhân</t>
        </is>
      </c>
      <c r="D15" s="19" t="inlineStr">
        <is>
          <t>Đồ ck + đồ Mon + đồ vk</t>
        </is>
      </c>
      <c r="E15" s="20" t="n"/>
      <c r="F15" s="20" t="n">
        <v>3277000</v>
      </c>
      <c r="G15" s="19" t="n"/>
      <c r="H15" s="21">
        <f>IF(A15="","",YEAR(A15)*100+MONTH(A15))</f>
        <v/>
      </c>
    </row>
    <row r="16">
      <c r="A16" s="18" t="n">
        <v>46239</v>
      </c>
      <c r="B16" s="19" t="inlineStr">
        <is>
          <t>Phát sinh</t>
        </is>
      </c>
      <c r="C16" s="19" t="inlineStr">
        <is>
          <t>Hiếu hỉ, sinh nhật, cúng lễ</t>
        </is>
      </c>
      <c r="D16" s="19" t="inlineStr">
        <is>
          <t>Cúng + chùa + Đám ma ông Đen + đồ cúng</t>
        </is>
      </c>
      <c r="E16" s="20" t="n"/>
      <c r="F16" s="20" t="n">
        <v>947000</v>
      </c>
      <c r="G16" s="19" t="n"/>
      <c r="H16" s="21">
        <f>IF(A16="","",YEAR(A16)*100+MONTH(A16))</f>
        <v/>
      </c>
    </row>
    <row r="17">
      <c r="A17" s="18" t="n">
        <v>46239</v>
      </c>
      <c r="B17" s="19" t="inlineStr">
        <is>
          <t>Phát sinh</t>
        </is>
      </c>
      <c r="C17" s="19" t="inlineStr">
        <is>
          <t>Công việc &amp; marketing</t>
        </is>
      </c>
      <c r="D17" s="19" t="inlineStr">
        <is>
          <t>Dán kính + cpn vp</t>
        </is>
      </c>
      <c r="E17" s="20" t="n"/>
      <c r="F17" s="20" t="n">
        <v>743000</v>
      </c>
      <c r="G17" s="19" t="n"/>
      <c r="H17" s="21">
        <f>IF(A17="","",YEAR(A17)*100+MONTH(A17))</f>
        <v/>
      </c>
    </row>
    <row r="18">
      <c r="A18" s="18" t="n">
        <v>46239</v>
      </c>
      <c r="B18" s="19" t="inlineStr">
        <is>
          <t>Phát sinh</t>
        </is>
      </c>
      <c r="C18" s="19" t="inlineStr">
        <is>
          <t>Hiếu hỉ, sinh nhật, cúng lễ</t>
        </is>
      </c>
      <c r="D18" s="19" t="inlineStr">
        <is>
          <t>SN Sơ Ri + SN vk + đi núi thần tài</t>
        </is>
      </c>
      <c r="E18" s="20" t="n"/>
      <c r="F18" s="20" t="n">
        <v>7612000</v>
      </c>
      <c r="G18" s="19" t="n"/>
      <c r="H18" s="21">
        <f>IF(A18="","",YEAR(A18)*100+MONTH(A18))</f>
        <v/>
      </c>
    </row>
    <row r="19">
      <c r="A19" s="18" t="n">
        <v>46239</v>
      </c>
      <c r="B19" s="19" t="inlineStr">
        <is>
          <t>Phát sinh</t>
        </is>
      </c>
      <c r="C19" s="19" t="inlineStr">
        <is>
          <t>Mua sắm cá nhân</t>
        </is>
      </c>
      <c r="D19" s="19" t="inlineStr">
        <is>
          <t>Vỏ máy ảnh, ốp ipad</t>
        </is>
      </c>
      <c r="E19" s="20" t="n"/>
      <c r="F19" s="20" t="n">
        <v>405000</v>
      </c>
      <c r="G19" s="19" t="n"/>
      <c r="H19" s="21">
        <f>IF(A19="","",YEAR(A19)*100+MONTH(A19))</f>
        <v/>
      </c>
    </row>
    <row r="20">
      <c r="A20" s="18" t="n">
        <v>46246</v>
      </c>
      <c r="B20" s="19" t="inlineStr">
        <is>
          <t>Phát sinh</t>
        </is>
      </c>
      <c r="C20" s="19" t="inlineStr">
        <is>
          <t>Đóng tiền căn hộ (theo đợt)</t>
        </is>
      </c>
      <c r="D20" s="19" t="inlineStr">
        <is>
          <t>Đóng tiền FPT đợt 3</t>
        </is>
      </c>
      <c r="E20" s="20" t="n"/>
      <c r="F20" s="20" t="n">
        <v>83056000</v>
      </c>
      <c r="G20" s="19" t="n"/>
      <c r="H20" s="21">
        <f>IF(A20="","",YEAR(A20)*100+MONTH(A20))</f>
        <v/>
      </c>
    </row>
    <row r="21">
      <c r="A21" s="18" t="n">
        <v>46246</v>
      </c>
      <c r="B21" s="19" t="inlineStr">
        <is>
          <t>Phát sinh</t>
        </is>
      </c>
      <c r="C21" s="19" t="inlineStr">
        <is>
          <t>Thu khác / hoàn phí</t>
        </is>
      </c>
      <c r="D21" s="19" t="inlineStr">
        <is>
          <t>Hoàn phí thường niên VIB</t>
        </is>
      </c>
      <c r="E21" s="20" t="n">
        <v>1299000</v>
      </c>
      <c r="F21" s="20" t="n"/>
      <c r="G21" s="19" t="n"/>
      <c r="H21" s="21">
        <f>IF(A21="","",YEAR(A21)*100+MONTH(A21))</f>
        <v/>
      </c>
    </row>
    <row r="22">
      <c r="A22" s="18" t="n">
        <v>46250</v>
      </c>
      <c r="B22" s="19" t="inlineStr">
        <is>
          <t>Phát sinh</t>
        </is>
      </c>
      <c r="C22" s="19" t="inlineStr">
        <is>
          <t>Đồ gia dụng &amp; trả góp</t>
        </is>
      </c>
      <c r="D22" s="19" t="inlineStr">
        <is>
          <t>Góp tủ lạnh T2</t>
        </is>
      </c>
      <c r="E22" s="20" t="n"/>
      <c r="F22" s="20" t="n">
        <v>500000</v>
      </c>
      <c r="G22" s="19" t="n"/>
      <c r="H22" s="21">
        <f>IF(A22="","",YEAR(A22)*100+MONTH(A22))</f>
        <v/>
      </c>
    </row>
    <row r="23">
      <c r="A23" s="18" t="n">
        <v>46250</v>
      </c>
      <c r="B23" s="19" t="inlineStr">
        <is>
          <t>Phát sinh</t>
        </is>
      </c>
      <c r="C23" s="19" t="inlineStr">
        <is>
          <t>Mua sắm cá nhân</t>
        </is>
      </c>
      <c r="D23" s="19" t="inlineStr">
        <is>
          <t>Kem cn, son, kem dưỡng</t>
        </is>
      </c>
      <c r="E23" s="20" t="n"/>
      <c r="F23" s="20" t="n">
        <v>800000</v>
      </c>
      <c r="G23" s="19" t="n"/>
      <c r="H23" s="21">
        <f>IF(A23="","",YEAR(A23)*100+MONTH(A23))</f>
        <v/>
      </c>
    </row>
    <row r="24">
      <c r="A24" s="18" t="n">
        <v>46250</v>
      </c>
      <c r="B24" s="19" t="inlineStr">
        <is>
          <t>Phát sinh</t>
        </is>
      </c>
      <c r="C24" s="19" t="inlineStr">
        <is>
          <t>Thuốc &amp; sức khỏe</t>
        </is>
      </c>
      <c r="D24" s="19" t="inlineStr">
        <is>
          <t>Thuốc</t>
        </is>
      </c>
      <c r="E24" s="20" t="n"/>
      <c r="F24" s="20" t="n">
        <v>231000</v>
      </c>
      <c r="G24" s="19" t="n"/>
      <c r="H24" s="21">
        <f>IF(A24="","",YEAR(A24)*100+MONTH(A24))</f>
        <v/>
      </c>
    </row>
    <row r="25">
      <c r="A25" s="18" t="n">
        <v>46250</v>
      </c>
      <c r="B25" s="19" t="inlineStr">
        <is>
          <t>Phát sinh</t>
        </is>
      </c>
      <c r="C25" s="19" t="inlineStr">
        <is>
          <t>Đồ gia dụng &amp; trả góp</t>
        </is>
      </c>
      <c r="D25" s="19" t="inlineStr">
        <is>
          <t>Ra gối mền</t>
        </is>
      </c>
      <c r="E25" s="20" t="n"/>
      <c r="F25" s="20" t="n">
        <v>2779000</v>
      </c>
      <c r="G25" s="19" t="n"/>
      <c r="H25" s="21">
        <f>IF(A25="","",YEAR(A25)*100+MONTH(A25))</f>
        <v/>
      </c>
    </row>
    <row r="26">
      <c r="A26" s="18" t="n">
        <v>46265</v>
      </c>
      <c r="B26" s="19" t="inlineStr">
        <is>
          <t>Phát sinh</t>
        </is>
      </c>
      <c r="C26" s="19" t="inlineStr">
        <is>
          <t>Công việc &amp; marketing</t>
        </is>
      </c>
      <c r="D26" s="19" t="inlineStr">
        <is>
          <t>Mkt ck</t>
        </is>
      </c>
      <c r="E26" s="20" t="n"/>
      <c r="F26" s="20" t="n">
        <v>1000000</v>
      </c>
      <c r="G26" s="19" t="n"/>
      <c r="H26" s="21">
        <f>IF(A26="","",YEAR(A26)*100+MONTH(A26))</f>
        <v/>
      </c>
    </row>
    <row r="27">
      <c r="A27" s="18" t="n"/>
      <c r="B27" s="19" t="n"/>
      <c r="C27" s="19" t="n"/>
      <c r="D27" s="19" t="n"/>
      <c r="E27" s="20" t="n"/>
      <c r="F27" s="20" t="n"/>
      <c r="G27" s="19" t="n"/>
      <c r="H27" s="21">
        <f>IF(A27="","",YEAR(A27)*100+MONTH(A27))</f>
        <v/>
      </c>
    </row>
    <row r="28">
      <c r="A28" s="18" t="n"/>
      <c r="B28" s="19" t="n"/>
      <c r="C28" s="19" t="n"/>
      <c r="D28" s="19" t="n"/>
      <c r="E28" s="20" t="n"/>
      <c r="F28" s="20" t="n"/>
      <c r="G28" s="19" t="n"/>
      <c r="H28" s="21">
        <f>IF(A28="","",YEAR(A28)*100+MONTH(A28))</f>
        <v/>
      </c>
    </row>
    <row r="29">
      <c r="A29" s="18" t="n"/>
      <c r="B29" s="19" t="n"/>
      <c r="C29" s="19" t="n"/>
      <c r="D29" s="19" t="n"/>
      <c r="E29" s="20" t="n"/>
      <c r="F29" s="20" t="n"/>
      <c r="G29" s="19" t="n"/>
      <c r="H29" s="21">
        <f>IF(A29="","",YEAR(A29)*100+MONTH(A29))</f>
        <v/>
      </c>
    </row>
    <row r="30">
      <c r="A30" s="18" t="n"/>
      <c r="B30" s="19" t="n"/>
      <c r="C30" s="19" t="n"/>
      <c r="D30" s="19" t="n"/>
      <c r="E30" s="20" t="n"/>
      <c r="F30" s="20" t="n"/>
      <c r="G30" s="19" t="n"/>
      <c r="H30" s="21">
        <f>IF(A30="","",YEAR(A30)*100+MONTH(A30))</f>
        <v/>
      </c>
    </row>
    <row r="31">
      <c r="A31" s="18" t="n"/>
      <c r="B31" s="19" t="n"/>
      <c r="C31" s="19" t="n"/>
      <c r="D31" s="19" t="n"/>
      <c r="E31" s="20" t="n"/>
      <c r="F31" s="20" t="n"/>
      <c r="G31" s="19" t="n"/>
      <c r="H31" s="21">
        <f>IF(A31="","",YEAR(A31)*100+MONTH(A31))</f>
        <v/>
      </c>
    </row>
    <row r="32">
      <c r="A32" s="18" t="n"/>
      <c r="B32" s="19" t="n"/>
      <c r="C32" s="19" t="n"/>
      <c r="D32" s="19" t="n"/>
      <c r="E32" s="20" t="n"/>
      <c r="F32" s="20" t="n"/>
      <c r="G32" s="19" t="n"/>
      <c r="H32" s="21">
        <f>IF(A32="","",YEAR(A32)*100+MONTH(A32))</f>
        <v/>
      </c>
    </row>
    <row r="33">
      <c r="A33" s="18" t="n"/>
      <c r="B33" s="19" t="n"/>
      <c r="C33" s="19" t="n"/>
      <c r="D33" s="19" t="n"/>
      <c r="E33" s="20" t="n"/>
      <c r="F33" s="20" t="n"/>
      <c r="G33" s="19" t="n"/>
      <c r="H33" s="21">
        <f>IF(A33="","",YEAR(A33)*100+MONTH(A33))</f>
        <v/>
      </c>
    </row>
    <row r="34">
      <c r="A34" s="18" t="n"/>
      <c r="B34" s="19" t="n"/>
      <c r="C34" s="19" t="n"/>
      <c r="D34" s="19" t="n"/>
      <c r="E34" s="20" t="n"/>
      <c r="F34" s="20" t="n"/>
      <c r="G34" s="19" t="n"/>
      <c r="H34" s="21">
        <f>IF(A34="","",YEAR(A34)*100+MONTH(A34))</f>
        <v/>
      </c>
    </row>
    <row r="35">
      <c r="A35" s="18" t="n"/>
      <c r="B35" s="19" t="n"/>
      <c r="C35" s="19" t="n"/>
      <c r="D35" s="19" t="n"/>
      <c r="E35" s="20" t="n"/>
      <c r="F35" s="20" t="n"/>
      <c r="G35" s="19" t="n"/>
      <c r="H35" s="21">
        <f>IF(A35="","",YEAR(A35)*100+MONTH(A35))</f>
        <v/>
      </c>
    </row>
    <row r="36">
      <c r="A36" s="18" t="n"/>
      <c r="B36" s="19" t="n"/>
      <c r="C36" s="19" t="n"/>
      <c r="D36" s="19" t="n"/>
      <c r="E36" s="20" t="n"/>
      <c r="F36" s="20" t="n"/>
      <c r="G36" s="19" t="n"/>
      <c r="H36" s="21">
        <f>IF(A36="","",YEAR(A36)*100+MONTH(A36))</f>
        <v/>
      </c>
    </row>
    <row r="37">
      <c r="A37" s="18" t="n"/>
      <c r="B37" s="19" t="n"/>
      <c r="C37" s="19" t="n"/>
      <c r="D37" s="19" t="n"/>
      <c r="E37" s="20" t="n"/>
      <c r="F37" s="20" t="n"/>
      <c r="G37" s="19" t="n"/>
      <c r="H37" s="21">
        <f>IF(A37="","",YEAR(A37)*100+MONTH(A37))</f>
        <v/>
      </c>
    </row>
    <row r="38">
      <c r="A38" s="18" t="n"/>
      <c r="B38" s="19" t="n"/>
      <c r="C38" s="19" t="n"/>
      <c r="D38" s="19" t="n"/>
      <c r="E38" s="20" t="n"/>
      <c r="F38" s="20" t="n"/>
      <c r="G38" s="19" t="n"/>
      <c r="H38" s="21">
        <f>IF(A38="","",YEAR(A38)*100+MONTH(A38))</f>
        <v/>
      </c>
    </row>
    <row r="39">
      <c r="A39" s="18" t="n"/>
      <c r="B39" s="19" t="n"/>
      <c r="C39" s="19" t="n"/>
      <c r="D39" s="19" t="n"/>
      <c r="E39" s="20" t="n"/>
      <c r="F39" s="20" t="n"/>
      <c r="G39" s="19" t="n"/>
      <c r="H39" s="21">
        <f>IF(A39="","",YEAR(A39)*100+MONTH(A39))</f>
        <v/>
      </c>
    </row>
    <row r="40">
      <c r="A40" s="18" t="n"/>
      <c r="B40" s="19" t="n"/>
      <c r="C40" s="19" t="n"/>
      <c r="D40" s="19" t="n"/>
      <c r="E40" s="20" t="n"/>
      <c r="F40" s="20" t="n"/>
      <c r="G40" s="19" t="n"/>
      <c r="H40" s="21">
        <f>IF(A40="","",YEAR(A40)*100+MONTH(A40))</f>
        <v/>
      </c>
    </row>
    <row r="41">
      <c r="A41" s="18" t="n"/>
      <c r="B41" s="19" t="n"/>
      <c r="C41" s="19" t="n"/>
      <c r="D41" s="19" t="n"/>
      <c r="E41" s="20" t="n"/>
      <c r="F41" s="20" t="n"/>
      <c r="G41" s="19" t="n"/>
      <c r="H41" s="21">
        <f>IF(A41="","",YEAR(A41)*100+MONTH(A41))</f>
        <v/>
      </c>
    </row>
    <row r="42">
      <c r="A42" s="18" t="n"/>
      <c r="B42" s="19" t="n"/>
      <c r="C42" s="19" t="n"/>
      <c r="D42" s="19" t="n"/>
      <c r="E42" s="20" t="n"/>
      <c r="F42" s="20" t="n"/>
      <c r="G42" s="19" t="n"/>
      <c r="H42" s="21">
        <f>IF(A42="","",YEAR(A42)*100+MONTH(A42))</f>
        <v/>
      </c>
    </row>
    <row r="43">
      <c r="A43" s="18" t="n"/>
      <c r="B43" s="19" t="n"/>
      <c r="C43" s="19" t="n"/>
      <c r="D43" s="19" t="n"/>
      <c r="E43" s="20" t="n"/>
      <c r="F43" s="20" t="n"/>
      <c r="G43" s="19" t="n"/>
      <c r="H43" s="21">
        <f>IF(A43="","",YEAR(A43)*100+MONTH(A43))</f>
        <v/>
      </c>
    </row>
    <row r="44">
      <c r="A44" s="18" t="n"/>
      <c r="B44" s="19" t="n"/>
      <c r="C44" s="19" t="n"/>
      <c r="D44" s="19" t="n"/>
      <c r="E44" s="20" t="n"/>
      <c r="F44" s="20" t="n"/>
      <c r="G44" s="19" t="n"/>
      <c r="H44" s="21">
        <f>IF(A44="","",YEAR(A44)*100+MONTH(A44))</f>
        <v/>
      </c>
    </row>
    <row r="45">
      <c r="A45" s="18" t="n"/>
      <c r="B45" s="19" t="n"/>
      <c r="C45" s="19" t="n"/>
      <c r="D45" s="19" t="n"/>
      <c r="E45" s="20" t="n"/>
      <c r="F45" s="20" t="n"/>
      <c r="G45" s="19" t="n"/>
      <c r="H45" s="21">
        <f>IF(A45="","",YEAR(A45)*100+MONTH(A45))</f>
        <v/>
      </c>
    </row>
    <row r="46">
      <c r="A46" s="18" t="n"/>
      <c r="B46" s="19" t="n"/>
      <c r="C46" s="19" t="n"/>
      <c r="D46" s="19" t="n"/>
      <c r="E46" s="20" t="n"/>
      <c r="F46" s="20" t="n"/>
      <c r="G46" s="19" t="n"/>
      <c r="H46" s="21">
        <f>IF(A46="","",YEAR(A46)*100+MONTH(A46))</f>
        <v/>
      </c>
    </row>
    <row r="47">
      <c r="A47" s="18" t="n"/>
      <c r="B47" s="19" t="n"/>
      <c r="C47" s="19" t="n"/>
      <c r="D47" s="19" t="n"/>
      <c r="E47" s="20" t="n"/>
      <c r="F47" s="20" t="n"/>
      <c r="G47" s="19" t="n"/>
      <c r="H47" s="21">
        <f>IF(A47="","",YEAR(A47)*100+MONTH(A47))</f>
        <v/>
      </c>
    </row>
    <row r="48">
      <c r="A48" s="18" t="n"/>
      <c r="B48" s="19" t="n"/>
      <c r="C48" s="19" t="n"/>
      <c r="D48" s="19" t="n"/>
      <c r="E48" s="20" t="n"/>
      <c r="F48" s="20" t="n"/>
      <c r="G48" s="19" t="n"/>
      <c r="H48" s="21">
        <f>IF(A48="","",YEAR(A48)*100+MONTH(A48))</f>
        <v/>
      </c>
    </row>
    <row r="49">
      <c r="A49" s="18" t="n"/>
      <c r="B49" s="19" t="n"/>
      <c r="C49" s="19" t="n"/>
      <c r="D49" s="19" t="n"/>
      <c r="E49" s="20" t="n"/>
      <c r="F49" s="20" t="n"/>
      <c r="G49" s="19" t="n"/>
      <c r="H49" s="21">
        <f>IF(A49="","",YEAR(A49)*100+MONTH(A49))</f>
        <v/>
      </c>
    </row>
    <row r="50">
      <c r="A50" s="18" t="n"/>
      <c r="B50" s="19" t="n"/>
      <c r="C50" s="19" t="n"/>
      <c r="D50" s="19" t="n"/>
      <c r="E50" s="20" t="n"/>
      <c r="F50" s="20" t="n"/>
      <c r="G50" s="19" t="n"/>
      <c r="H50" s="21">
        <f>IF(A50="","",YEAR(A50)*100+MONTH(A50))</f>
        <v/>
      </c>
    </row>
    <row r="51">
      <c r="A51" s="18" t="n"/>
      <c r="B51" s="19" t="n"/>
      <c r="C51" s="19" t="n"/>
      <c r="D51" s="19" t="n"/>
      <c r="E51" s="20" t="n"/>
      <c r="F51" s="20" t="n"/>
      <c r="G51" s="19" t="n"/>
      <c r="H51" s="21">
        <f>IF(A51="","",YEAR(A51)*100+MONTH(A51))</f>
        <v/>
      </c>
    </row>
    <row r="52">
      <c r="A52" s="18" t="n"/>
      <c r="B52" s="19" t="n"/>
      <c r="C52" s="19" t="n"/>
      <c r="D52" s="19" t="n"/>
      <c r="E52" s="20" t="n"/>
      <c r="F52" s="20" t="n"/>
      <c r="G52" s="19" t="n"/>
      <c r="H52" s="21">
        <f>IF(A52="","",YEAR(A52)*100+MONTH(A52))</f>
        <v/>
      </c>
    </row>
    <row r="53">
      <c r="A53" s="18" t="n"/>
      <c r="B53" s="19" t="n"/>
      <c r="C53" s="19" t="n"/>
      <c r="D53" s="19" t="n"/>
      <c r="E53" s="20" t="n"/>
      <c r="F53" s="20" t="n"/>
      <c r="G53" s="19" t="n"/>
      <c r="H53" s="21">
        <f>IF(A53="","",YEAR(A53)*100+MONTH(A53))</f>
        <v/>
      </c>
    </row>
    <row r="54">
      <c r="A54" s="18" t="n"/>
      <c r="B54" s="19" t="n"/>
      <c r="C54" s="19" t="n"/>
      <c r="D54" s="19" t="n"/>
      <c r="E54" s="20" t="n"/>
      <c r="F54" s="20" t="n"/>
      <c r="G54" s="19" t="n"/>
      <c r="H54" s="21">
        <f>IF(A54="","",YEAR(A54)*100+MONTH(A54))</f>
        <v/>
      </c>
    </row>
    <row r="55">
      <c r="A55" s="18" t="n"/>
      <c r="B55" s="19" t="n"/>
      <c r="C55" s="19" t="n"/>
      <c r="D55" s="19" t="n"/>
      <c r="E55" s="20" t="n"/>
      <c r="F55" s="20" t="n"/>
      <c r="G55" s="19" t="n"/>
      <c r="H55" s="21">
        <f>IF(A55="","",YEAR(A55)*100+MONTH(A55))</f>
        <v/>
      </c>
    </row>
    <row r="56">
      <c r="A56" s="18" t="n"/>
      <c r="B56" s="19" t="n"/>
      <c r="C56" s="19" t="n"/>
      <c r="D56" s="19" t="n"/>
      <c r="E56" s="20" t="n"/>
      <c r="F56" s="20" t="n"/>
      <c r="G56" s="19" t="n"/>
      <c r="H56" s="21">
        <f>IF(A56="","",YEAR(A56)*100+MONTH(A56))</f>
        <v/>
      </c>
    </row>
    <row r="57">
      <c r="A57" s="18" t="n"/>
      <c r="B57" s="19" t="n"/>
      <c r="C57" s="19" t="n"/>
      <c r="D57" s="19" t="n"/>
      <c r="E57" s="20" t="n"/>
      <c r="F57" s="20" t="n"/>
      <c r="G57" s="19" t="n"/>
      <c r="H57" s="21">
        <f>IF(A57="","",YEAR(A57)*100+MONTH(A57))</f>
        <v/>
      </c>
    </row>
    <row r="58">
      <c r="A58" s="18" t="n"/>
      <c r="B58" s="19" t="n"/>
      <c r="C58" s="19" t="n"/>
      <c r="D58" s="19" t="n"/>
      <c r="E58" s="20" t="n"/>
      <c r="F58" s="20" t="n"/>
      <c r="G58" s="19" t="n"/>
      <c r="H58" s="21">
        <f>IF(A58="","",YEAR(A58)*100+MONTH(A58))</f>
        <v/>
      </c>
    </row>
    <row r="59">
      <c r="A59" s="18" t="n"/>
      <c r="B59" s="19" t="n"/>
      <c r="C59" s="19" t="n"/>
      <c r="D59" s="19" t="n"/>
      <c r="E59" s="20" t="n"/>
      <c r="F59" s="20" t="n"/>
      <c r="G59" s="19" t="n"/>
      <c r="H59" s="21">
        <f>IF(A59="","",YEAR(A59)*100+MONTH(A59))</f>
        <v/>
      </c>
    </row>
    <row r="60">
      <c r="A60" s="18" t="n"/>
      <c r="B60" s="19" t="n"/>
      <c r="C60" s="19" t="n"/>
      <c r="D60" s="19" t="n"/>
      <c r="E60" s="20" t="n"/>
      <c r="F60" s="20" t="n"/>
      <c r="G60" s="19" t="n"/>
      <c r="H60" s="21">
        <f>IF(A60="","",YEAR(A60)*100+MONTH(A60))</f>
        <v/>
      </c>
    </row>
    <row r="61">
      <c r="A61" s="18" t="n"/>
      <c r="B61" s="19" t="n"/>
      <c r="C61" s="19" t="n"/>
      <c r="D61" s="19" t="n"/>
      <c r="E61" s="20" t="n"/>
      <c r="F61" s="20" t="n"/>
      <c r="G61" s="19" t="n"/>
      <c r="H61" s="21">
        <f>IF(A61="","",YEAR(A61)*100+MONTH(A61))</f>
        <v/>
      </c>
    </row>
    <row r="62">
      <c r="A62" s="18" t="n"/>
      <c r="B62" s="19" t="n"/>
      <c r="C62" s="19" t="n"/>
      <c r="D62" s="19" t="n"/>
      <c r="E62" s="20" t="n"/>
      <c r="F62" s="20" t="n"/>
      <c r="G62" s="19" t="n"/>
      <c r="H62" s="21">
        <f>IF(A62="","",YEAR(A62)*100+MONTH(A62))</f>
        <v/>
      </c>
    </row>
    <row r="63">
      <c r="A63" s="18" t="n"/>
      <c r="B63" s="19" t="n"/>
      <c r="C63" s="19" t="n"/>
      <c r="D63" s="19" t="n"/>
      <c r="E63" s="20" t="n"/>
      <c r="F63" s="20" t="n"/>
      <c r="G63" s="19" t="n"/>
      <c r="H63" s="21">
        <f>IF(A63="","",YEAR(A63)*100+MONTH(A63))</f>
        <v/>
      </c>
    </row>
    <row r="64">
      <c r="A64" s="18" t="n"/>
      <c r="B64" s="19" t="n"/>
      <c r="C64" s="19" t="n"/>
      <c r="D64" s="19" t="n"/>
      <c r="E64" s="20" t="n"/>
      <c r="F64" s="20" t="n"/>
      <c r="G64" s="19" t="n"/>
      <c r="H64" s="21">
        <f>IF(A64="","",YEAR(A64)*100+MONTH(A64))</f>
        <v/>
      </c>
    </row>
    <row r="65">
      <c r="A65" s="18" t="n"/>
      <c r="B65" s="19" t="n"/>
      <c r="C65" s="19" t="n"/>
      <c r="D65" s="19" t="n"/>
      <c r="E65" s="20" t="n"/>
      <c r="F65" s="20" t="n"/>
      <c r="G65" s="19" t="n"/>
      <c r="H65" s="21">
        <f>IF(A65="","",YEAR(A65)*100+MONTH(A65))</f>
        <v/>
      </c>
    </row>
    <row r="66">
      <c r="A66" s="18" t="n"/>
      <c r="B66" s="19" t="n"/>
      <c r="C66" s="19" t="n"/>
      <c r="D66" s="19" t="n"/>
      <c r="E66" s="20" t="n"/>
      <c r="F66" s="20" t="n"/>
      <c r="G66" s="19" t="n"/>
      <c r="H66" s="21">
        <f>IF(A66="","",YEAR(A66)*100+MONTH(A66))</f>
        <v/>
      </c>
    </row>
    <row r="67">
      <c r="A67" s="18" t="n"/>
      <c r="B67" s="19" t="n"/>
      <c r="C67" s="19" t="n"/>
      <c r="D67" s="19" t="n"/>
      <c r="E67" s="20" t="n"/>
      <c r="F67" s="20" t="n"/>
      <c r="G67" s="19" t="n"/>
      <c r="H67" s="21">
        <f>IF(A67="","",YEAR(A67)*100+MONTH(A67))</f>
        <v/>
      </c>
    </row>
    <row r="68">
      <c r="A68" s="18" t="n"/>
      <c r="B68" s="19" t="n"/>
      <c r="C68" s="19" t="n"/>
      <c r="D68" s="19" t="n"/>
      <c r="E68" s="20" t="n"/>
      <c r="F68" s="20" t="n"/>
      <c r="G68" s="19" t="n"/>
      <c r="H68" s="21">
        <f>IF(A68="","",YEAR(A68)*100+MONTH(A68))</f>
        <v/>
      </c>
    </row>
    <row r="69">
      <c r="A69" s="18" t="n"/>
      <c r="B69" s="19" t="n"/>
      <c r="C69" s="19" t="n"/>
      <c r="D69" s="19" t="n"/>
      <c r="E69" s="20" t="n"/>
      <c r="F69" s="20" t="n"/>
      <c r="G69" s="19" t="n"/>
      <c r="H69" s="21">
        <f>IF(A69="","",YEAR(A69)*100+MONTH(A69))</f>
        <v/>
      </c>
    </row>
    <row r="70">
      <c r="A70" s="18" t="n"/>
      <c r="B70" s="19" t="n"/>
      <c r="C70" s="19" t="n"/>
      <c r="D70" s="19" t="n"/>
      <c r="E70" s="20" t="n"/>
      <c r="F70" s="20" t="n"/>
      <c r="G70" s="19" t="n"/>
      <c r="H70" s="21">
        <f>IF(A70="","",YEAR(A70)*100+MONTH(A70))</f>
        <v/>
      </c>
    </row>
    <row r="71">
      <c r="A71" s="18" t="n"/>
      <c r="B71" s="19" t="n"/>
      <c r="C71" s="19" t="n"/>
      <c r="D71" s="19" t="n"/>
      <c r="E71" s="20" t="n"/>
      <c r="F71" s="20" t="n"/>
      <c r="G71" s="19" t="n"/>
      <c r="H71" s="21">
        <f>IF(A71="","",YEAR(A71)*100+MONTH(A71))</f>
        <v/>
      </c>
    </row>
    <row r="72">
      <c r="A72" s="18" t="n"/>
      <c r="B72" s="19" t="n"/>
      <c r="C72" s="19" t="n"/>
      <c r="D72" s="19" t="n"/>
      <c r="E72" s="20" t="n"/>
      <c r="F72" s="20" t="n"/>
      <c r="G72" s="19" t="n"/>
      <c r="H72" s="21">
        <f>IF(A72="","",YEAR(A72)*100+MONTH(A72))</f>
        <v/>
      </c>
    </row>
    <row r="73">
      <c r="A73" s="18" t="n"/>
      <c r="B73" s="19" t="n"/>
      <c r="C73" s="19" t="n"/>
      <c r="D73" s="19" t="n"/>
      <c r="E73" s="20" t="n"/>
      <c r="F73" s="20" t="n"/>
      <c r="G73" s="19" t="n"/>
      <c r="H73" s="21">
        <f>IF(A73="","",YEAR(A73)*100+MONTH(A73))</f>
        <v/>
      </c>
    </row>
    <row r="74">
      <c r="A74" s="18" t="n"/>
      <c r="B74" s="19" t="n"/>
      <c r="C74" s="19" t="n"/>
      <c r="D74" s="19" t="n"/>
      <c r="E74" s="20" t="n"/>
      <c r="F74" s="20" t="n"/>
      <c r="G74" s="19" t="n"/>
      <c r="H74" s="21">
        <f>IF(A74="","",YEAR(A74)*100+MONTH(A74))</f>
        <v/>
      </c>
    </row>
    <row r="75">
      <c r="A75" s="18" t="n"/>
      <c r="B75" s="19" t="n"/>
      <c r="C75" s="19" t="n"/>
      <c r="D75" s="19" t="n"/>
      <c r="E75" s="20" t="n"/>
      <c r="F75" s="20" t="n"/>
      <c r="G75" s="19" t="n"/>
      <c r="H75" s="21">
        <f>IF(A75="","",YEAR(A75)*100+MONTH(A75))</f>
        <v/>
      </c>
    </row>
    <row r="76">
      <c r="A76" s="18" t="n"/>
      <c r="B76" s="19" t="n"/>
      <c r="C76" s="19" t="n"/>
      <c r="D76" s="19" t="n"/>
      <c r="E76" s="20" t="n"/>
      <c r="F76" s="20" t="n"/>
      <c r="G76" s="19" t="n"/>
      <c r="H76" s="21">
        <f>IF(A76="","",YEAR(A76)*100+MONTH(A76))</f>
        <v/>
      </c>
    </row>
    <row r="77">
      <c r="A77" s="18" t="n"/>
      <c r="B77" s="19" t="n"/>
      <c r="C77" s="19" t="n"/>
      <c r="D77" s="19" t="n"/>
      <c r="E77" s="20" t="n"/>
      <c r="F77" s="20" t="n"/>
      <c r="G77" s="19" t="n"/>
      <c r="H77" s="21">
        <f>IF(A77="","",YEAR(A77)*100+MONTH(A77))</f>
        <v/>
      </c>
    </row>
    <row r="78">
      <c r="A78" s="18" t="n"/>
      <c r="B78" s="19" t="n"/>
      <c r="C78" s="19" t="n"/>
      <c r="D78" s="19" t="n"/>
      <c r="E78" s="20" t="n"/>
      <c r="F78" s="20" t="n"/>
      <c r="G78" s="19" t="n"/>
      <c r="H78" s="21">
        <f>IF(A78="","",YEAR(A78)*100+MONTH(A78))</f>
        <v/>
      </c>
    </row>
    <row r="79">
      <c r="A79" s="18" t="n"/>
      <c r="B79" s="19" t="n"/>
      <c r="C79" s="19" t="n"/>
      <c r="D79" s="19" t="n"/>
      <c r="E79" s="20" t="n"/>
      <c r="F79" s="20" t="n"/>
      <c r="G79" s="19" t="n"/>
      <c r="H79" s="21">
        <f>IF(A79="","",YEAR(A79)*100+MONTH(A79))</f>
        <v/>
      </c>
    </row>
    <row r="80">
      <c r="A80" s="18" t="n"/>
      <c r="B80" s="19" t="n"/>
      <c r="C80" s="19" t="n"/>
      <c r="D80" s="19" t="n"/>
      <c r="E80" s="20" t="n"/>
      <c r="F80" s="20" t="n"/>
      <c r="G80" s="19" t="n"/>
      <c r="H80" s="21">
        <f>IF(A80="","",YEAR(A80)*100+MONTH(A80))</f>
        <v/>
      </c>
    </row>
    <row r="81">
      <c r="A81" s="18" t="n"/>
      <c r="B81" s="19" t="n"/>
      <c r="C81" s="19" t="n"/>
      <c r="D81" s="19" t="n"/>
      <c r="E81" s="20" t="n"/>
      <c r="F81" s="20" t="n"/>
      <c r="G81" s="19" t="n"/>
      <c r="H81" s="21">
        <f>IF(A81="","",YEAR(A81)*100+MONTH(A81))</f>
        <v/>
      </c>
    </row>
    <row r="82">
      <c r="A82" s="18" t="n"/>
      <c r="B82" s="19" t="n"/>
      <c r="C82" s="19" t="n"/>
      <c r="D82" s="19" t="n"/>
      <c r="E82" s="20" t="n"/>
      <c r="F82" s="20" t="n"/>
      <c r="G82" s="19" t="n"/>
      <c r="H82" s="21">
        <f>IF(A82="","",YEAR(A82)*100+MONTH(A82))</f>
        <v/>
      </c>
    </row>
    <row r="83">
      <c r="A83" s="18" t="n"/>
      <c r="B83" s="19" t="n"/>
      <c r="C83" s="19" t="n"/>
      <c r="D83" s="19" t="n"/>
      <c r="E83" s="20" t="n"/>
      <c r="F83" s="20" t="n"/>
      <c r="G83" s="19" t="n"/>
      <c r="H83" s="21">
        <f>IF(A83="","",YEAR(A83)*100+MONTH(A83))</f>
        <v/>
      </c>
    </row>
    <row r="84">
      <c r="A84" s="18" t="n"/>
      <c r="B84" s="19" t="n"/>
      <c r="C84" s="19" t="n"/>
      <c r="D84" s="19" t="n"/>
      <c r="E84" s="20" t="n"/>
      <c r="F84" s="20" t="n"/>
      <c r="G84" s="19" t="n"/>
      <c r="H84" s="21">
        <f>IF(A84="","",YEAR(A84)*100+MONTH(A84))</f>
        <v/>
      </c>
    </row>
    <row r="85">
      <c r="A85" s="18" t="n"/>
      <c r="B85" s="19" t="n"/>
      <c r="C85" s="19" t="n"/>
      <c r="D85" s="19" t="n"/>
      <c r="E85" s="20" t="n"/>
      <c r="F85" s="20" t="n"/>
      <c r="G85" s="19" t="n"/>
      <c r="H85" s="21">
        <f>IF(A85="","",YEAR(A85)*100+MONTH(A85))</f>
        <v/>
      </c>
    </row>
    <row r="86">
      <c r="A86" s="18" t="n"/>
      <c r="B86" s="19" t="n"/>
      <c r="C86" s="19" t="n"/>
      <c r="D86" s="19" t="n"/>
      <c r="E86" s="20" t="n"/>
      <c r="F86" s="20" t="n"/>
      <c r="G86" s="19" t="n"/>
      <c r="H86" s="21">
        <f>IF(A86="","",YEAR(A86)*100+MONTH(A86))</f>
        <v/>
      </c>
    </row>
    <row r="87">
      <c r="A87" s="18" t="n"/>
      <c r="B87" s="19" t="n"/>
      <c r="C87" s="19" t="n"/>
      <c r="D87" s="19" t="n"/>
      <c r="E87" s="20" t="n"/>
      <c r="F87" s="20" t="n"/>
      <c r="G87" s="19" t="n"/>
      <c r="H87" s="21">
        <f>IF(A87="","",YEAR(A87)*100+MONTH(A87))</f>
        <v/>
      </c>
    </row>
    <row r="88">
      <c r="A88" s="18" t="n"/>
      <c r="B88" s="19" t="n"/>
      <c r="C88" s="19" t="n"/>
      <c r="D88" s="19" t="n"/>
      <c r="E88" s="20" t="n"/>
      <c r="F88" s="20" t="n"/>
      <c r="G88" s="19" t="n"/>
      <c r="H88" s="21">
        <f>IF(A88="","",YEAR(A88)*100+MONTH(A88))</f>
        <v/>
      </c>
    </row>
    <row r="89">
      <c r="A89" s="18" t="n"/>
      <c r="B89" s="19" t="n"/>
      <c r="C89" s="19" t="n"/>
      <c r="D89" s="19" t="n"/>
      <c r="E89" s="20" t="n"/>
      <c r="F89" s="20" t="n"/>
      <c r="G89" s="19" t="n"/>
      <c r="H89" s="21">
        <f>IF(A89="","",YEAR(A89)*100+MONTH(A89))</f>
        <v/>
      </c>
    </row>
    <row r="90">
      <c r="A90" s="18" t="n"/>
      <c r="B90" s="19" t="n"/>
      <c r="C90" s="19" t="n"/>
      <c r="D90" s="19" t="n"/>
      <c r="E90" s="20" t="n"/>
      <c r="F90" s="20" t="n"/>
      <c r="G90" s="19" t="n"/>
      <c r="H90" s="21">
        <f>IF(A90="","",YEAR(A90)*100+MONTH(A90))</f>
        <v/>
      </c>
    </row>
    <row r="91">
      <c r="A91" s="18" t="n"/>
      <c r="B91" s="19" t="n"/>
      <c r="C91" s="19" t="n"/>
      <c r="D91" s="19" t="n"/>
      <c r="E91" s="20" t="n"/>
      <c r="F91" s="20" t="n"/>
      <c r="G91" s="19" t="n"/>
      <c r="H91" s="21">
        <f>IF(A91="","",YEAR(A91)*100+MONTH(A91))</f>
        <v/>
      </c>
    </row>
    <row r="92">
      <c r="A92" s="18" t="n"/>
      <c r="B92" s="19" t="n"/>
      <c r="C92" s="19" t="n"/>
      <c r="D92" s="19" t="n"/>
      <c r="E92" s="20" t="n"/>
      <c r="F92" s="20" t="n"/>
      <c r="G92" s="19" t="n"/>
      <c r="H92" s="21">
        <f>IF(A92="","",YEAR(A92)*100+MONTH(A92))</f>
        <v/>
      </c>
    </row>
    <row r="93">
      <c r="A93" s="18" t="n"/>
      <c r="B93" s="19" t="n"/>
      <c r="C93" s="19" t="n"/>
      <c r="D93" s="19" t="n"/>
      <c r="E93" s="20" t="n"/>
      <c r="F93" s="20" t="n"/>
      <c r="G93" s="19" t="n"/>
      <c r="H93" s="21">
        <f>IF(A93="","",YEAR(A93)*100+MONTH(A93))</f>
        <v/>
      </c>
    </row>
    <row r="94">
      <c r="A94" s="18" t="n"/>
      <c r="B94" s="19" t="n"/>
      <c r="C94" s="19" t="n"/>
      <c r="D94" s="19" t="n"/>
      <c r="E94" s="20" t="n"/>
      <c r="F94" s="20" t="n"/>
      <c r="G94" s="19" t="n"/>
      <c r="H94" s="21">
        <f>IF(A94="","",YEAR(A94)*100+MONTH(A94))</f>
        <v/>
      </c>
    </row>
    <row r="95">
      <c r="A95" s="18" t="n"/>
      <c r="B95" s="19" t="n"/>
      <c r="C95" s="19" t="n"/>
      <c r="D95" s="19" t="n"/>
      <c r="E95" s="20" t="n"/>
      <c r="F95" s="20" t="n"/>
      <c r="G95" s="19" t="n"/>
      <c r="H95" s="21">
        <f>IF(A95="","",YEAR(A95)*100+MONTH(A95))</f>
        <v/>
      </c>
    </row>
    <row r="96">
      <c r="A96" s="18" t="n"/>
      <c r="B96" s="19" t="n"/>
      <c r="C96" s="19" t="n"/>
      <c r="D96" s="19" t="n"/>
      <c r="E96" s="20" t="n"/>
      <c r="F96" s="20" t="n"/>
      <c r="G96" s="19" t="n"/>
      <c r="H96" s="21">
        <f>IF(A96="","",YEAR(A96)*100+MONTH(A96))</f>
        <v/>
      </c>
    </row>
    <row r="97">
      <c r="A97" s="18" t="n"/>
      <c r="B97" s="19" t="n"/>
      <c r="C97" s="19" t="n"/>
      <c r="D97" s="19" t="n"/>
      <c r="E97" s="20" t="n"/>
      <c r="F97" s="20" t="n"/>
      <c r="G97" s="19" t="n"/>
      <c r="H97" s="21">
        <f>IF(A97="","",YEAR(A97)*100+MONTH(A97))</f>
        <v/>
      </c>
    </row>
    <row r="98">
      <c r="A98" s="18" t="n"/>
      <c r="B98" s="19" t="n"/>
      <c r="C98" s="19" t="n"/>
      <c r="D98" s="19" t="n"/>
      <c r="E98" s="20" t="n"/>
      <c r="F98" s="20" t="n"/>
      <c r="G98" s="19" t="n"/>
      <c r="H98" s="21">
        <f>IF(A98="","",YEAR(A98)*100+MONTH(A98))</f>
        <v/>
      </c>
    </row>
    <row r="99">
      <c r="A99" s="18" t="n"/>
      <c r="B99" s="19" t="n"/>
      <c r="C99" s="19" t="n"/>
      <c r="D99" s="19" t="n"/>
      <c r="E99" s="20" t="n"/>
      <c r="F99" s="20" t="n"/>
      <c r="G99" s="19" t="n"/>
      <c r="H99" s="21">
        <f>IF(A99="","",YEAR(A99)*100+MONTH(A99))</f>
        <v/>
      </c>
    </row>
    <row r="100">
      <c r="A100" s="18" t="n"/>
      <c r="B100" s="19" t="n"/>
      <c r="C100" s="19" t="n"/>
      <c r="D100" s="19" t="n"/>
      <c r="E100" s="20" t="n"/>
      <c r="F100" s="20" t="n"/>
      <c r="G100" s="19" t="n"/>
      <c r="H100" s="21">
        <f>IF(A100="","",YEAR(A100)*100+MONTH(A100))</f>
        <v/>
      </c>
    </row>
    <row r="101">
      <c r="A101" s="18" t="n"/>
      <c r="B101" s="19" t="n"/>
      <c r="C101" s="19" t="n"/>
      <c r="D101" s="19" t="n"/>
      <c r="E101" s="20" t="n"/>
      <c r="F101" s="20" t="n"/>
      <c r="G101" s="19" t="n"/>
      <c r="H101" s="21">
        <f>IF(A101="","",YEAR(A101)*100+MONTH(A101))</f>
        <v/>
      </c>
    </row>
    <row r="102">
      <c r="A102" s="18" t="n"/>
      <c r="B102" s="19" t="n"/>
      <c r="C102" s="19" t="n"/>
      <c r="D102" s="19" t="n"/>
      <c r="E102" s="20" t="n"/>
      <c r="F102" s="20" t="n"/>
      <c r="G102" s="19" t="n"/>
      <c r="H102" s="21">
        <f>IF(A102="","",YEAR(A102)*100+MONTH(A102))</f>
        <v/>
      </c>
    </row>
    <row r="103">
      <c r="A103" s="18" t="n"/>
      <c r="B103" s="19" t="n"/>
      <c r="C103" s="19" t="n"/>
      <c r="D103" s="19" t="n"/>
      <c r="E103" s="20" t="n"/>
      <c r="F103" s="20" t="n"/>
      <c r="G103" s="19" t="n"/>
      <c r="H103" s="21">
        <f>IF(A103="","",YEAR(A103)*100+MONTH(A103))</f>
        <v/>
      </c>
    </row>
    <row r="104">
      <c r="A104" s="18" t="n"/>
      <c r="B104" s="19" t="n"/>
      <c r="C104" s="19" t="n"/>
      <c r="D104" s="19" t="n"/>
      <c r="E104" s="20" t="n"/>
      <c r="F104" s="20" t="n"/>
      <c r="G104" s="19" t="n"/>
      <c r="H104" s="21">
        <f>IF(A104="","",YEAR(A104)*100+MONTH(A104))</f>
        <v/>
      </c>
    </row>
    <row r="105">
      <c r="A105" s="18" t="n"/>
      <c r="B105" s="19" t="n"/>
      <c r="C105" s="19" t="n"/>
      <c r="D105" s="19" t="n"/>
      <c r="E105" s="20" t="n"/>
      <c r="F105" s="20" t="n"/>
      <c r="G105" s="19" t="n"/>
      <c r="H105" s="21">
        <f>IF(A105="","",YEAR(A105)*100+MONTH(A105))</f>
        <v/>
      </c>
    </row>
    <row r="106">
      <c r="A106" s="18" t="n"/>
      <c r="B106" s="19" t="n"/>
      <c r="C106" s="19" t="n"/>
      <c r="D106" s="19" t="n"/>
      <c r="E106" s="20" t="n"/>
      <c r="F106" s="20" t="n"/>
      <c r="G106" s="19" t="n"/>
      <c r="H106" s="21">
        <f>IF(A106="","",YEAR(A106)*100+MONTH(A106))</f>
        <v/>
      </c>
    </row>
    <row r="107">
      <c r="A107" s="18" t="n"/>
      <c r="B107" s="19" t="n"/>
      <c r="C107" s="19" t="n"/>
      <c r="D107" s="19" t="n"/>
      <c r="E107" s="20" t="n"/>
      <c r="F107" s="20" t="n"/>
      <c r="G107" s="19" t="n"/>
      <c r="H107" s="21">
        <f>IF(A107="","",YEAR(A107)*100+MONTH(A107))</f>
        <v/>
      </c>
    </row>
    <row r="108">
      <c r="A108" s="18" t="n"/>
      <c r="B108" s="19" t="n"/>
      <c r="C108" s="19" t="n"/>
      <c r="D108" s="19" t="n"/>
      <c r="E108" s="20" t="n"/>
      <c r="F108" s="20" t="n"/>
      <c r="G108" s="19" t="n"/>
      <c r="H108" s="21">
        <f>IF(A108="","",YEAR(A108)*100+MONTH(A108))</f>
        <v/>
      </c>
    </row>
    <row r="109">
      <c r="A109" s="18" t="n"/>
      <c r="B109" s="19" t="n"/>
      <c r="C109" s="19" t="n"/>
      <c r="D109" s="19" t="n"/>
      <c r="E109" s="20" t="n"/>
      <c r="F109" s="20" t="n"/>
      <c r="G109" s="19" t="n"/>
      <c r="H109" s="21">
        <f>IF(A109="","",YEAR(A109)*100+MONTH(A109))</f>
        <v/>
      </c>
    </row>
    <row r="110">
      <c r="A110" s="18" t="n"/>
      <c r="B110" s="19" t="n"/>
      <c r="C110" s="19" t="n"/>
      <c r="D110" s="19" t="n"/>
      <c r="E110" s="20" t="n"/>
      <c r="F110" s="20" t="n"/>
      <c r="G110" s="19" t="n"/>
      <c r="H110" s="21">
        <f>IF(A110="","",YEAR(A110)*100+MONTH(A110))</f>
        <v/>
      </c>
    </row>
    <row r="111">
      <c r="A111" s="18" t="n"/>
      <c r="B111" s="19" t="n"/>
      <c r="C111" s="19" t="n"/>
      <c r="D111" s="19" t="n"/>
      <c r="E111" s="20" t="n"/>
      <c r="F111" s="20" t="n"/>
      <c r="G111" s="19" t="n"/>
      <c r="H111" s="21">
        <f>IF(A111="","",YEAR(A111)*100+MONTH(A111))</f>
        <v/>
      </c>
    </row>
    <row r="112">
      <c r="A112" s="18" t="n"/>
      <c r="B112" s="19" t="n"/>
      <c r="C112" s="19" t="n"/>
      <c r="D112" s="19" t="n"/>
      <c r="E112" s="20" t="n"/>
      <c r="F112" s="20" t="n"/>
      <c r="G112" s="19" t="n"/>
      <c r="H112" s="21">
        <f>IF(A112="","",YEAR(A112)*100+MONTH(A112))</f>
        <v/>
      </c>
    </row>
    <row r="113">
      <c r="A113" s="18" t="n"/>
      <c r="B113" s="19" t="n"/>
      <c r="C113" s="19" t="n"/>
      <c r="D113" s="19" t="n"/>
      <c r="E113" s="20" t="n"/>
      <c r="F113" s="20" t="n"/>
      <c r="G113" s="19" t="n"/>
      <c r="H113" s="21">
        <f>IF(A113="","",YEAR(A113)*100+MONTH(A113))</f>
        <v/>
      </c>
    </row>
    <row r="114">
      <c r="A114" s="18" t="n"/>
      <c r="B114" s="19" t="n"/>
      <c r="C114" s="19" t="n"/>
      <c r="D114" s="19" t="n"/>
      <c r="E114" s="20" t="n"/>
      <c r="F114" s="20" t="n"/>
      <c r="G114" s="19" t="n"/>
      <c r="H114" s="21">
        <f>IF(A114="","",YEAR(A114)*100+MONTH(A114))</f>
        <v/>
      </c>
    </row>
    <row r="115">
      <c r="A115" s="18" t="n"/>
      <c r="B115" s="19" t="n"/>
      <c r="C115" s="19" t="n"/>
      <c r="D115" s="19" t="n"/>
      <c r="E115" s="20" t="n"/>
      <c r="F115" s="20" t="n"/>
      <c r="G115" s="19" t="n"/>
      <c r="H115" s="21">
        <f>IF(A115="","",YEAR(A115)*100+MONTH(A115))</f>
        <v/>
      </c>
    </row>
    <row r="116">
      <c r="A116" s="18" t="n"/>
      <c r="B116" s="19" t="n"/>
      <c r="C116" s="19" t="n"/>
      <c r="D116" s="19" t="n"/>
      <c r="E116" s="20" t="n"/>
      <c r="F116" s="20" t="n"/>
      <c r="G116" s="19" t="n"/>
      <c r="H116" s="21">
        <f>IF(A116="","",YEAR(A116)*100+MONTH(A116))</f>
        <v/>
      </c>
    </row>
    <row r="117">
      <c r="A117" s="18" t="n"/>
      <c r="B117" s="19" t="n"/>
      <c r="C117" s="19" t="n"/>
      <c r="D117" s="19" t="n"/>
      <c r="E117" s="20" t="n"/>
      <c r="F117" s="20" t="n"/>
      <c r="G117" s="19" t="n"/>
      <c r="H117" s="21">
        <f>IF(A117="","",YEAR(A117)*100+MONTH(A117))</f>
        <v/>
      </c>
    </row>
    <row r="118">
      <c r="A118" s="18" t="n"/>
      <c r="B118" s="19" t="n"/>
      <c r="C118" s="19" t="n"/>
      <c r="D118" s="19" t="n"/>
      <c r="E118" s="20" t="n"/>
      <c r="F118" s="20" t="n"/>
      <c r="G118" s="19" t="n"/>
      <c r="H118" s="21">
        <f>IF(A118="","",YEAR(A118)*100+MONTH(A118))</f>
        <v/>
      </c>
    </row>
    <row r="119">
      <c r="A119" s="18" t="n"/>
      <c r="B119" s="19" t="n"/>
      <c r="C119" s="19" t="n"/>
      <c r="D119" s="19" t="n"/>
      <c r="E119" s="20" t="n"/>
      <c r="F119" s="20" t="n"/>
      <c r="G119" s="19" t="n"/>
      <c r="H119" s="21">
        <f>IF(A119="","",YEAR(A119)*100+MONTH(A119))</f>
        <v/>
      </c>
    </row>
    <row r="120">
      <c r="A120" s="18" t="n"/>
      <c r="B120" s="19" t="n"/>
      <c r="C120" s="19" t="n"/>
      <c r="D120" s="19" t="n"/>
      <c r="E120" s="20" t="n"/>
      <c r="F120" s="20" t="n"/>
      <c r="G120" s="19" t="n"/>
      <c r="H120" s="21">
        <f>IF(A120="","",YEAR(A120)*100+MONTH(A120))</f>
        <v/>
      </c>
    </row>
    <row r="121">
      <c r="A121" s="18" t="n"/>
      <c r="B121" s="19" t="n"/>
      <c r="C121" s="19" t="n"/>
      <c r="D121" s="19" t="n"/>
      <c r="E121" s="20" t="n"/>
      <c r="F121" s="20" t="n"/>
      <c r="G121" s="19" t="n"/>
      <c r="H121" s="21">
        <f>IF(A121="","",YEAR(A121)*100+MONTH(A121))</f>
        <v/>
      </c>
    </row>
    <row r="122">
      <c r="A122" s="18" t="n"/>
      <c r="B122" s="19" t="n"/>
      <c r="C122" s="19" t="n"/>
      <c r="D122" s="19" t="n"/>
      <c r="E122" s="20" t="n"/>
      <c r="F122" s="20" t="n"/>
      <c r="G122" s="19" t="n"/>
      <c r="H122" s="21">
        <f>IF(A122="","",YEAR(A122)*100+MONTH(A122))</f>
        <v/>
      </c>
    </row>
    <row r="123">
      <c r="A123" s="18" t="n"/>
      <c r="B123" s="19" t="n"/>
      <c r="C123" s="19" t="n"/>
      <c r="D123" s="19" t="n"/>
      <c r="E123" s="20" t="n"/>
      <c r="F123" s="20" t="n"/>
      <c r="G123" s="19" t="n"/>
      <c r="H123" s="21">
        <f>IF(A123="","",YEAR(A123)*100+MONTH(A123))</f>
        <v/>
      </c>
    </row>
    <row r="124">
      <c r="A124" s="18" t="n"/>
      <c r="B124" s="19" t="n"/>
      <c r="C124" s="19" t="n"/>
      <c r="D124" s="19" t="n"/>
      <c r="E124" s="20" t="n"/>
      <c r="F124" s="20" t="n"/>
      <c r="G124" s="19" t="n"/>
      <c r="H124" s="21">
        <f>IF(A124="","",YEAR(A124)*100+MONTH(A124))</f>
        <v/>
      </c>
    </row>
    <row r="125">
      <c r="A125" s="18" t="n"/>
      <c r="B125" s="19" t="n"/>
      <c r="C125" s="19" t="n"/>
      <c r="D125" s="19" t="n"/>
      <c r="E125" s="20" t="n"/>
      <c r="F125" s="20" t="n"/>
      <c r="G125" s="19" t="n"/>
      <c r="H125" s="21">
        <f>IF(A125="","",YEAR(A125)*100+MONTH(A125))</f>
        <v/>
      </c>
    </row>
    <row r="126">
      <c r="A126" s="18" t="n"/>
      <c r="B126" s="19" t="n"/>
      <c r="C126" s="19" t="n"/>
      <c r="D126" s="19" t="n"/>
      <c r="E126" s="20" t="n"/>
      <c r="F126" s="20" t="n"/>
      <c r="G126" s="19" t="n"/>
      <c r="H126" s="21">
        <f>IF(A126="","",YEAR(A126)*100+MONTH(A126))</f>
        <v/>
      </c>
    </row>
    <row r="127">
      <c r="A127" s="18" t="n"/>
      <c r="B127" s="19" t="n"/>
      <c r="C127" s="19" t="n"/>
      <c r="D127" s="19" t="n"/>
      <c r="E127" s="20" t="n"/>
      <c r="F127" s="20" t="n"/>
      <c r="G127" s="19" t="n"/>
      <c r="H127" s="21">
        <f>IF(A127="","",YEAR(A127)*100+MONTH(A127))</f>
        <v/>
      </c>
    </row>
    <row r="128">
      <c r="A128" s="18" t="n"/>
      <c r="B128" s="19" t="n"/>
      <c r="C128" s="19" t="n"/>
      <c r="D128" s="19" t="n"/>
      <c r="E128" s="20" t="n"/>
      <c r="F128" s="20" t="n"/>
      <c r="G128" s="19" t="n"/>
      <c r="H128" s="21">
        <f>IF(A128="","",YEAR(A128)*100+MONTH(A128))</f>
        <v/>
      </c>
    </row>
    <row r="129">
      <c r="A129" s="18" t="n"/>
      <c r="B129" s="19" t="n"/>
      <c r="C129" s="19" t="n"/>
      <c r="D129" s="19" t="n"/>
      <c r="E129" s="20" t="n"/>
      <c r="F129" s="20" t="n"/>
      <c r="G129" s="19" t="n"/>
      <c r="H129" s="21">
        <f>IF(A129="","",YEAR(A129)*100+MONTH(A129))</f>
        <v/>
      </c>
    </row>
    <row r="130">
      <c r="A130" s="18" t="n"/>
      <c r="B130" s="19" t="n"/>
      <c r="C130" s="19" t="n"/>
      <c r="D130" s="19" t="n"/>
      <c r="E130" s="20" t="n"/>
      <c r="F130" s="20" t="n"/>
      <c r="G130" s="19" t="n"/>
      <c r="H130" s="21">
        <f>IF(A130="","",YEAR(A130)*100+MONTH(A130))</f>
        <v/>
      </c>
    </row>
    <row r="131">
      <c r="A131" s="18" t="n"/>
      <c r="B131" s="19" t="n"/>
      <c r="C131" s="19" t="n"/>
      <c r="D131" s="19" t="n"/>
      <c r="E131" s="20" t="n"/>
      <c r="F131" s="20" t="n"/>
      <c r="G131" s="19" t="n"/>
      <c r="H131" s="21">
        <f>IF(A131="","",YEAR(A131)*100+MONTH(A131))</f>
        <v/>
      </c>
    </row>
    <row r="132">
      <c r="A132" s="18" t="n"/>
      <c r="B132" s="19" t="n"/>
      <c r="C132" s="19" t="n"/>
      <c r="D132" s="19" t="n"/>
      <c r="E132" s="20" t="n"/>
      <c r="F132" s="20" t="n"/>
      <c r="G132" s="19" t="n"/>
      <c r="H132" s="21">
        <f>IF(A132="","",YEAR(A132)*100+MONTH(A132))</f>
        <v/>
      </c>
    </row>
    <row r="133">
      <c r="A133" s="18" t="n"/>
      <c r="B133" s="19" t="n"/>
      <c r="C133" s="19" t="n"/>
      <c r="D133" s="19" t="n"/>
      <c r="E133" s="20" t="n"/>
      <c r="F133" s="20" t="n"/>
      <c r="G133" s="19" t="n"/>
      <c r="H133" s="21">
        <f>IF(A133="","",YEAR(A133)*100+MONTH(A133))</f>
        <v/>
      </c>
    </row>
    <row r="134">
      <c r="A134" s="18" t="n"/>
      <c r="B134" s="19" t="n"/>
      <c r="C134" s="19" t="n"/>
      <c r="D134" s="19" t="n"/>
      <c r="E134" s="20" t="n"/>
      <c r="F134" s="20" t="n"/>
      <c r="G134" s="19" t="n"/>
      <c r="H134" s="21">
        <f>IF(A134="","",YEAR(A134)*100+MONTH(A134))</f>
        <v/>
      </c>
    </row>
    <row r="135">
      <c r="A135" s="18" t="n"/>
      <c r="B135" s="19" t="n"/>
      <c r="C135" s="19" t="n"/>
      <c r="D135" s="19" t="n"/>
      <c r="E135" s="20" t="n"/>
      <c r="F135" s="20" t="n"/>
      <c r="G135" s="19" t="n"/>
      <c r="H135" s="21">
        <f>IF(A135="","",YEAR(A135)*100+MONTH(A135))</f>
        <v/>
      </c>
    </row>
    <row r="136">
      <c r="A136" s="18" t="n"/>
      <c r="B136" s="19" t="n"/>
      <c r="C136" s="19" t="n"/>
      <c r="D136" s="19" t="n"/>
      <c r="E136" s="20" t="n"/>
      <c r="F136" s="20" t="n"/>
      <c r="G136" s="19" t="n"/>
      <c r="H136" s="21">
        <f>IF(A136="","",YEAR(A136)*100+MONTH(A136))</f>
        <v/>
      </c>
    </row>
    <row r="137">
      <c r="A137" s="18" t="n"/>
      <c r="B137" s="19" t="n"/>
      <c r="C137" s="19" t="n"/>
      <c r="D137" s="19" t="n"/>
      <c r="E137" s="20" t="n"/>
      <c r="F137" s="20" t="n"/>
      <c r="G137" s="19" t="n"/>
      <c r="H137" s="21">
        <f>IF(A137="","",YEAR(A137)*100+MONTH(A137))</f>
        <v/>
      </c>
    </row>
    <row r="138">
      <c r="A138" s="18" t="n"/>
      <c r="B138" s="19" t="n"/>
      <c r="C138" s="19" t="n"/>
      <c r="D138" s="19" t="n"/>
      <c r="E138" s="20" t="n"/>
      <c r="F138" s="20" t="n"/>
      <c r="G138" s="19" t="n"/>
      <c r="H138" s="21">
        <f>IF(A138="","",YEAR(A138)*100+MONTH(A138))</f>
        <v/>
      </c>
    </row>
    <row r="139">
      <c r="A139" s="18" t="n"/>
      <c r="B139" s="19" t="n"/>
      <c r="C139" s="19" t="n"/>
      <c r="D139" s="19" t="n"/>
      <c r="E139" s="20" t="n"/>
      <c r="F139" s="20" t="n"/>
      <c r="G139" s="19" t="n"/>
      <c r="H139" s="21">
        <f>IF(A139="","",YEAR(A139)*100+MONTH(A139))</f>
        <v/>
      </c>
    </row>
    <row r="140">
      <c r="A140" s="18" t="n"/>
      <c r="B140" s="19" t="n"/>
      <c r="C140" s="19" t="n"/>
      <c r="D140" s="19" t="n"/>
      <c r="E140" s="20" t="n"/>
      <c r="F140" s="20" t="n"/>
      <c r="G140" s="19" t="n"/>
      <c r="H140" s="21">
        <f>IF(A140="","",YEAR(A140)*100+MONTH(A140))</f>
        <v/>
      </c>
    </row>
    <row r="141">
      <c r="A141" s="18" t="n"/>
      <c r="B141" s="19" t="n"/>
      <c r="C141" s="19" t="n"/>
      <c r="D141" s="19" t="n"/>
      <c r="E141" s="20" t="n"/>
      <c r="F141" s="20" t="n"/>
      <c r="G141" s="19" t="n"/>
      <c r="H141" s="21">
        <f>IF(A141="","",YEAR(A141)*100+MONTH(A141))</f>
        <v/>
      </c>
    </row>
    <row r="142">
      <c r="A142" s="18" t="n"/>
      <c r="B142" s="19" t="n"/>
      <c r="C142" s="19" t="n"/>
      <c r="D142" s="19" t="n"/>
      <c r="E142" s="20" t="n"/>
      <c r="F142" s="20" t="n"/>
      <c r="G142" s="19" t="n"/>
      <c r="H142" s="21">
        <f>IF(A142="","",YEAR(A142)*100+MONTH(A142))</f>
        <v/>
      </c>
    </row>
    <row r="143">
      <c r="A143" s="18" t="n"/>
      <c r="B143" s="19" t="n"/>
      <c r="C143" s="19" t="n"/>
      <c r="D143" s="19" t="n"/>
      <c r="E143" s="20" t="n"/>
      <c r="F143" s="20" t="n"/>
      <c r="G143" s="19" t="n"/>
      <c r="H143" s="21">
        <f>IF(A143="","",YEAR(A143)*100+MONTH(A143))</f>
        <v/>
      </c>
    </row>
    <row r="144">
      <c r="A144" s="18" t="n"/>
      <c r="B144" s="19" t="n"/>
      <c r="C144" s="19" t="n"/>
      <c r="D144" s="19" t="n"/>
      <c r="E144" s="20" t="n"/>
      <c r="F144" s="20" t="n"/>
      <c r="G144" s="19" t="n"/>
      <c r="H144" s="21">
        <f>IF(A144="","",YEAR(A144)*100+MONTH(A144))</f>
        <v/>
      </c>
    </row>
    <row r="145">
      <c r="A145" s="18" t="n"/>
      <c r="B145" s="19" t="n"/>
      <c r="C145" s="19" t="n"/>
      <c r="D145" s="19" t="n"/>
      <c r="E145" s="20" t="n"/>
      <c r="F145" s="20" t="n"/>
      <c r="G145" s="19" t="n"/>
      <c r="H145" s="21">
        <f>IF(A145="","",YEAR(A145)*100+MONTH(A145))</f>
        <v/>
      </c>
    </row>
    <row r="146">
      <c r="A146" s="18" t="n"/>
      <c r="B146" s="19" t="n"/>
      <c r="C146" s="19" t="n"/>
      <c r="D146" s="19" t="n"/>
      <c r="E146" s="20" t="n"/>
      <c r="F146" s="20" t="n"/>
      <c r="G146" s="19" t="n"/>
      <c r="H146" s="21">
        <f>IF(A146="","",YEAR(A146)*100+MONTH(A146))</f>
        <v/>
      </c>
    </row>
    <row r="147">
      <c r="A147" s="18" t="n"/>
      <c r="B147" s="19" t="n"/>
      <c r="C147" s="19" t="n"/>
      <c r="D147" s="19" t="n"/>
      <c r="E147" s="20" t="n"/>
      <c r="F147" s="20" t="n"/>
      <c r="G147" s="19" t="n"/>
      <c r="H147" s="21">
        <f>IF(A147="","",YEAR(A147)*100+MONTH(A147))</f>
        <v/>
      </c>
    </row>
    <row r="148">
      <c r="A148" s="18" t="n"/>
      <c r="B148" s="19" t="n"/>
      <c r="C148" s="19" t="n"/>
      <c r="D148" s="19" t="n"/>
      <c r="E148" s="20" t="n"/>
      <c r="F148" s="20" t="n"/>
      <c r="G148" s="19" t="n"/>
      <c r="H148" s="21">
        <f>IF(A148="","",YEAR(A148)*100+MONTH(A148))</f>
        <v/>
      </c>
    </row>
    <row r="149">
      <c r="A149" s="18" t="n"/>
      <c r="B149" s="19" t="n"/>
      <c r="C149" s="19" t="n"/>
      <c r="D149" s="19" t="n"/>
      <c r="E149" s="20" t="n"/>
      <c r="F149" s="20" t="n"/>
      <c r="G149" s="19" t="n"/>
      <c r="H149" s="21">
        <f>IF(A149="","",YEAR(A149)*100+MONTH(A149))</f>
        <v/>
      </c>
    </row>
    <row r="150">
      <c r="A150" s="18" t="n"/>
      <c r="B150" s="19" t="n"/>
      <c r="C150" s="19" t="n"/>
      <c r="D150" s="19" t="n"/>
      <c r="E150" s="20" t="n"/>
      <c r="F150" s="20" t="n"/>
      <c r="G150" s="19" t="n"/>
      <c r="H150" s="21">
        <f>IF(A150="","",YEAR(A150)*100+MONTH(A150))</f>
        <v/>
      </c>
    </row>
    <row r="151">
      <c r="A151" s="18" t="n"/>
      <c r="B151" s="19" t="n"/>
      <c r="C151" s="19" t="n"/>
      <c r="D151" s="19" t="n"/>
      <c r="E151" s="20" t="n"/>
      <c r="F151" s="20" t="n"/>
      <c r="G151" s="19" t="n"/>
      <c r="H151" s="21">
        <f>IF(A151="","",YEAR(A151)*100+MONTH(A151))</f>
        <v/>
      </c>
    </row>
    <row r="152">
      <c r="A152" s="18" t="n"/>
      <c r="B152" s="19" t="n"/>
      <c r="C152" s="19" t="n"/>
      <c r="D152" s="19" t="n"/>
      <c r="E152" s="20" t="n"/>
      <c r="F152" s="20" t="n"/>
      <c r="G152" s="19" t="n"/>
      <c r="H152" s="21">
        <f>IF(A152="","",YEAR(A152)*100+MONTH(A152))</f>
        <v/>
      </c>
    </row>
    <row r="153">
      <c r="A153" s="18" t="n"/>
      <c r="B153" s="19" t="n"/>
      <c r="C153" s="19" t="n"/>
      <c r="D153" s="19" t="n"/>
      <c r="E153" s="20" t="n"/>
      <c r="F153" s="20" t="n"/>
      <c r="G153" s="19" t="n"/>
      <c r="H153" s="21">
        <f>IF(A153="","",YEAR(A153)*100+MONTH(A153))</f>
        <v/>
      </c>
    </row>
    <row r="154">
      <c r="A154" s="18" t="n"/>
      <c r="B154" s="19" t="n"/>
      <c r="C154" s="19" t="n"/>
      <c r="D154" s="19" t="n"/>
      <c r="E154" s="20" t="n"/>
      <c r="F154" s="20" t="n"/>
      <c r="G154" s="19" t="n"/>
      <c r="H154" s="21">
        <f>IF(A154="","",YEAR(A154)*100+MONTH(A154))</f>
        <v/>
      </c>
    </row>
    <row r="155">
      <c r="A155" s="18" t="n"/>
      <c r="B155" s="19" t="n"/>
      <c r="C155" s="19" t="n"/>
      <c r="D155" s="19" t="n"/>
      <c r="E155" s="20" t="n"/>
      <c r="F155" s="20" t="n"/>
      <c r="G155" s="19" t="n"/>
      <c r="H155" s="21">
        <f>IF(A155="","",YEAR(A155)*100+MONTH(A155))</f>
        <v/>
      </c>
    </row>
    <row r="156">
      <c r="A156" s="18" t="n"/>
      <c r="B156" s="19" t="n"/>
      <c r="C156" s="19" t="n"/>
      <c r="D156" s="19" t="n"/>
      <c r="E156" s="20" t="n"/>
      <c r="F156" s="20" t="n"/>
      <c r="G156" s="19" t="n"/>
      <c r="H156" s="21">
        <f>IF(A156="","",YEAR(A156)*100+MONTH(A156))</f>
        <v/>
      </c>
    </row>
    <row r="157">
      <c r="A157" s="18" t="n"/>
      <c r="B157" s="19" t="n"/>
      <c r="C157" s="19" t="n"/>
      <c r="D157" s="19" t="n"/>
      <c r="E157" s="20" t="n"/>
      <c r="F157" s="20" t="n"/>
      <c r="G157" s="19" t="n"/>
      <c r="H157" s="21">
        <f>IF(A157="","",YEAR(A157)*100+MONTH(A157))</f>
        <v/>
      </c>
    </row>
    <row r="158">
      <c r="A158" s="18" t="n"/>
      <c r="B158" s="19" t="n"/>
      <c r="C158" s="19" t="n"/>
      <c r="D158" s="19" t="n"/>
      <c r="E158" s="20" t="n"/>
      <c r="F158" s="20" t="n"/>
      <c r="G158" s="19" t="n"/>
      <c r="H158" s="21">
        <f>IF(A158="","",YEAR(A158)*100+MONTH(A158))</f>
        <v/>
      </c>
    </row>
    <row r="159">
      <c r="A159" s="18" t="n"/>
      <c r="B159" s="19" t="n"/>
      <c r="C159" s="19" t="n"/>
      <c r="D159" s="19" t="n"/>
      <c r="E159" s="20" t="n"/>
      <c r="F159" s="20" t="n"/>
      <c r="G159" s="19" t="n"/>
      <c r="H159" s="21">
        <f>IF(A159="","",YEAR(A159)*100+MONTH(A159))</f>
        <v/>
      </c>
    </row>
    <row r="160">
      <c r="A160" s="18" t="n"/>
      <c r="B160" s="19" t="n"/>
      <c r="C160" s="19" t="n"/>
      <c r="D160" s="19" t="n"/>
      <c r="E160" s="20" t="n"/>
      <c r="F160" s="20" t="n"/>
      <c r="G160" s="19" t="n"/>
      <c r="H160" s="21">
        <f>IF(A160="","",YEAR(A160)*100+MONTH(A160))</f>
        <v/>
      </c>
    </row>
    <row r="161">
      <c r="A161" s="18" t="n"/>
      <c r="B161" s="19" t="n"/>
      <c r="C161" s="19" t="n"/>
      <c r="D161" s="19" t="n"/>
      <c r="E161" s="20" t="n"/>
      <c r="F161" s="20" t="n"/>
      <c r="G161" s="19" t="n"/>
      <c r="H161" s="21">
        <f>IF(A161="","",YEAR(A161)*100+MONTH(A161))</f>
        <v/>
      </c>
    </row>
    <row r="162">
      <c r="A162" s="18" t="n"/>
      <c r="B162" s="19" t="n"/>
      <c r="C162" s="19" t="n"/>
      <c r="D162" s="19" t="n"/>
      <c r="E162" s="20" t="n"/>
      <c r="F162" s="20" t="n"/>
      <c r="G162" s="19" t="n"/>
      <c r="H162" s="21">
        <f>IF(A162="","",YEAR(A162)*100+MONTH(A162))</f>
        <v/>
      </c>
    </row>
    <row r="163">
      <c r="A163" s="18" t="n"/>
      <c r="B163" s="19" t="n"/>
      <c r="C163" s="19" t="n"/>
      <c r="D163" s="19" t="n"/>
      <c r="E163" s="20" t="n"/>
      <c r="F163" s="20" t="n"/>
      <c r="G163" s="19" t="n"/>
      <c r="H163" s="21">
        <f>IF(A163="","",YEAR(A163)*100+MONTH(A163))</f>
        <v/>
      </c>
    </row>
    <row r="164">
      <c r="A164" s="18" t="n"/>
      <c r="B164" s="19" t="n"/>
      <c r="C164" s="19" t="n"/>
      <c r="D164" s="19" t="n"/>
      <c r="E164" s="20" t="n"/>
      <c r="F164" s="20" t="n"/>
      <c r="G164" s="19" t="n"/>
      <c r="H164" s="21">
        <f>IF(A164="","",YEAR(A164)*100+MONTH(A164))</f>
        <v/>
      </c>
    </row>
    <row r="165">
      <c r="A165" s="18" t="n"/>
      <c r="B165" s="19" t="n"/>
      <c r="C165" s="19" t="n"/>
      <c r="D165" s="19" t="n"/>
      <c r="E165" s="20" t="n"/>
      <c r="F165" s="20" t="n"/>
      <c r="G165" s="19" t="n"/>
      <c r="H165" s="21">
        <f>IF(A165="","",YEAR(A165)*100+MONTH(A165))</f>
        <v/>
      </c>
    </row>
    <row r="166">
      <c r="A166" s="18" t="n"/>
      <c r="B166" s="19" t="n"/>
      <c r="C166" s="19" t="n"/>
      <c r="D166" s="19" t="n"/>
      <c r="E166" s="20" t="n"/>
      <c r="F166" s="20" t="n"/>
      <c r="G166" s="19" t="n"/>
      <c r="H166" s="21">
        <f>IF(A166="","",YEAR(A166)*100+MONTH(A166))</f>
        <v/>
      </c>
    </row>
    <row r="167">
      <c r="A167" s="18" t="n"/>
      <c r="B167" s="19" t="n"/>
      <c r="C167" s="19" t="n"/>
      <c r="D167" s="19" t="n"/>
      <c r="E167" s="20" t="n"/>
      <c r="F167" s="20" t="n"/>
      <c r="G167" s="19" t="n"/>
      <c r="H167" s="21">
        <f>IF(A167="","",YEAR(A167)*100+MONTH(A167))</f>
        <v/>
      </c>
    </row>
    <row r="168">
      <c r="A168" s="18" t="n"/>
      <c r="B168" s="19" t="n"/>
      <c r="C168" s="19" t="n"/>
      <c r="D168" s="19" t="n"/>
      <c r="E168" s="20" t="n"/>
      <c r="F168" s="20" t="n"/>
      <c r="G168" s="19" t="n"/>
      <c r="H168" s="21">
        <f>IF(A168="","",YEAR(A168)*100+MONTH(A168))</f>
        <v/>
      </c>
    </row>
    <row r="169">
      <c r="A169" s="18" t="n"/>
      <c r="B169" s="19" t="n"/>
      <c r="C169" s="19" t="n"/>
      <c r="D169" s="19" t="n"/>
      <c r="E169" s="20" t="n"/>
      <c r="F169" s="20" t="n"/>
      <c r="G169" s="19" t="n"/>
      <c r="H169" s="21">
        <f>IF(A169="","",YEAR(A169)*100+MONTH(A169))</f>
        <v/>
      </c>
    </row>
    <row r="170">
      <c r="A170" s="18" t="n"/>
      <c r="B170" s="19" t="n"/>
      <c r="C170" s="19" t="n"/>
      <c r="D170" s="19" t="n"/>
      <c r="E170" s="20" t="n"/>
      <c r="F170" s="20" t="n"/>
      <c r="G170" s="19" t="n"/>
      <c r="H170" s="21">
        <f>IF(A170="","",YEAR(A170)*100+MONTH(A170))</f>
        <v/>
      </c>
    </row>
    <row r="171">
      <c r="A171" s="18" t="n"/>
      <c r="B171" s="19" t="n"/>
      <c r="C171" s="19" t="n"/>
      <c r="D171" s="19" t="n"/>
      <c r="E171" s="20" t="n"/>
      <c r="F171" s="20" t="n"/>
      <c r="G171" s="19" t="n"/>
      <c r="H171" s="21">
        <f>IF(A171="","",YEAR(A171)*100+MONTH(A171))</f>
        <v/>
      </c>
    </row>
    <row r="172">
      <c r="A172" s="18" t="n"/>
      <c r="B172" s="19" t="n"/>
      <c r="C172" s="19" t="n"/>
      <c r="D172" s="19" t="n"/>
      <c r="E172" s="20" t="n"/>
      <c r="F172" s="20" t="n"/>
      <c r="G172" s="19" t="n"/>
      <c r="H172" s="21">
        <f>IF(A172="","",YEAR(A172)*100+MONTH(A172))</f>
        <v/>
      </c>
    </row>
    <row r="173">
      <c r="A173" s="18" t="n"/>
      <c r="B173" s="19" t="n"/>
      <c r="C173" s="19" t="n"/>
      <c r="D173" s="19" t="n"/>
      <c r="E173" s="20" t="n"/>
      <c r="F173" s="20" t="n"/>
      <c r="G173" s="19" t="n"/>
      <c r="H173" s="21">
        <f>IF(A173="","",YEAR(A173)*100+MONTH(A173))</f>
        <v/>
      </c>
    </row>
    <row r="174">
      <c r="A174" s="18" t="n"/>
      <c r="B174" s="19" t="n"/>
      <c r="C174" s="19" t="n"/>
      <c r="D174" s="19" t="n"/>
      <c r="E174" s="20" t="n"/>
      <c r="F174" s="20" t="n"/>
      <c r="G174" s="19" t="n"/>
      <c r="H174" s="21">
        <f>IF(A174="","",YEAR(A174)*100+MONTH(A174))</f>
        <v/>
      </c>
    </row>
    <row r="175">
      <c r="A175" s="18" t="n"/>
      <c r="B175" s="19" t="n"/>
      <c r="C175" s="19" t="n"/>
      <c r="D175" s="19" t="n"/>
      <c r="E175" s="20" t="n"/>
      <c r="F175" s="20" t="n"/>
      <c r="G175" s="19" t="n"/>
      <c r="H175" s="21">
        <f>IF(A175="","",YEAR(A175)*100+MONTH(A175))</f>
        <v/>
      </c>
    </row>
    <row r="176">
      <c r="A176" s="18" t="n"/>
      <c r="B176" s="19" t="n"/>
      <c r="C176" s="19" t="n"/>
      <c r="D176" s="19" t="n"/>
      <c r="E176" s="20" t="n"/>
      <c r="F176" s="20" t="n"/>
      <c r="G176" s="19" t="n"/>
      <c r="H176" s="21">
        <f>IF(A176="","",YEAR(A176)*100+MONTH(A176))</f>
        <v/>
      </c>
    </row>
    <row r="177">
      <c r="A177" s="18" t="n"/>
      <c r="B177" s="19" t="n"/>
      <c r="C177" s="19" t="n"/>
      <c r="D177" s="19" t="n"/>
      <c r="E177" s="20" t="n"/>
      <c r="F177" s="20" t="n"/>
      <c r="G177" s="19" t="n"/>
      <c r="H177" s="21">
        <f>IF(A177="","",YEAR(A177)*100+MONTH(A177))</f>
        <v/>
      </c>
    </row>
    <row r="178">
      <c r="A178" s="18" t="n"/>
      <c r="B178" s="19" t="n"/>
      <c r="C178" s="19" t="n"/>
      <c r="D178" s="19" t="n"/>
      <c r="E178" s="20" t="n"/>
      <c r="F178" s="20" t="n"/>
      <c r="G178" s="19" t="n"/>
      <c r="H178" s="21">
        <f>IF(A178="","",YEAR(A178)*100+MONTH(A178))</f>
        <v/>
      </c>
    </row>
    <row r="179">
      <c r="A179" s="18" t="n"/>
      <c r="B179" s="19" t="n"/>
      <c r="C179" s="19" t="n"/>
      <c r="D179" s="19" t="n"/>
      <c r="E179" s="20" t="n"/>
      <c r="F179" s="20" t="n"/>
      <c r="G179" s="19" t="n"/>
      <c r="H179" s="21">
        <f>IF(A179="","",YEAR(A179)*100+MONTH(A179))</f>
        <v/>
      </c>
    </row>
    <row r="180">
      <c r="A180" s="18" t="n"/>
      <c r="B180" s="19" t="n"/>
      <c r="C180" s="19" t="n"/>
      <c r="D180" s="19" t="n"/>
      <c r="E180" s="20" t="n"/>
      <c r="F180" s="20" t="n"/>
      <c r="G180" s="19" t="n"/>
      <c r="H180" s="21">
        <f>IF(A180="","",YEAR(A180)*100+MONTH(A180))</f>
        <v/>
      </c>
    </row>
    <row r="181">
      <c r="A181" s="18" t="n"/>
      <c r="B181" s="19" t="n"/>
      <c r="C181" s="19" t="n"/>
      <c r="D181" s="19" t="n"/>
      <c r="E181" s="20" t="n"/>
      <c r="F181" s="20" t="n"/>
      <c r="G181" s="19" t="n"/>
      <c r="H181" s="21">
        <f>IF(A181="","",YEAR(A181)*100+MONTH(A181))</f>
        <v/>
      </c>
    </row>
    <row r="182">
      <c r="A182" s="18" t="n"/>
      <c r="B182" s="19" t="n"/>
      <c r="C182" s="19" t="n"/>
      <c r="D182" s="19" t="n"/>
      <c r="E182" s="20" t="n"/>
      <c r="F182" s="20" t="n"/>
      <c r="G182" s="19" t="n"/>
      <c r="H182" s="21">
        <f>IF(A182="","",YEAR(A182)*100+MONTH(A182))</f>
        <v/>
      </c>
    </row>
    <row r="183">
      <c r="A183" s="18" t="n"/>
      <c r="B183" s="19" t="n"/>
      <c r="C183" s="19" t="n"/>
      <c r="D183" s="19" t="n"/>
      <c r="E183" s="20" t="n"/>
      <c r="F183" s="20" t="n"/>
      <c r="G183" s="19" t="n"/>
      <c r="H183" s="21">
        <f>IF(A183="","",YEAR(A183)*100+MONTH(A183))</f>
        <v/>
      </c>
    </row>
    <row r="184">
      <c r="A184" s="18" t="n"/>
      <c r="B184" s="19" t="n"/>
      <c r="C184" s="19" t="n"/>
      <c r="D184" s="19" t="n"/>
      <c r="E184" s="20" t="n"/>
      <c r="F184" s="20" t="n"/>
      <c r="G184" s="19" t="n"/>
      <c r="H184" s="21">
        <f>IF(A184="","",YEAR(A184)*100+MONTH(A184))</f>
        <v/>
      </c>
    </row>
    <row r="185">
      <c r="A185" s="18" t="n"/>
      <c r="B185" s="19" t="n"/>
      <c r="C185" s="19" t="n"/>
      <c r="D185" s="19" t="n"/>
      <c r="E185" s="20" t="n"/>
      <c r="F185" s="20" t="n"/>
      <c r="G185" s="19" t="n"/>
      <c r="H185" s="21">
        <f>IF(A185="","",YEAR(A185)*100+MONTH(A185))</f>
        <v/>
      </c>
    </row>
    <row r="186">
      <c r="A186" s="18" t="n"/>
      <c r="B186" s="19" t="n"/>
      <c r="C186" s="19" t="n"/>
      <c r="D186" s="19" t="n"/>
      <c r="E186" s="20" t="n"/>
      <c r="F186" s="20" t="n"/>
      <c r="G186" s="19" t="n"/>
      <c r="H186" s="21">
        <f>IF(A186="","",YEAR(A186)*100+MONTH(A186))</f>
        <v/>
      </c>
    </row>
    <row r="187">
      <c r="A187" s="18" t="n"/>
      <c r="B187" s="19" t="n"/>
      <c r="C187" s="19" t="n"/>
      <c r="D187" s="19" t="n"/>
      <c r="E187" s="20" t="n"/>
      <c r="F187" s="20" t="n"/>
      <c r="G187" s="19" t="n"/>
      <c r="H187" s="21">
        <f>IF(A187="","",YEAR(A187)*100+MONTH(A187))</f>
        <v/>
      </c>
    </row>
    <row r="188">
      <c r="A188" s="18" t="n"/>
      <c r="B188" s="19" t="n"/>
      <c r="C188" s="19" t="n"/>
      <c r="D188" s="19" t="n"/>
      <c r="E188" s="20" t="n"/>
      <c r="F188" s="20" t="n"/>
      <c r="G188" s="19" t="n"/>
      <c r="H188" s="21">
        <f>IF(A188="","",YEAR(A188)*100+MONTH(A188))</f>
        <v/>
      </c>
    </row>
    <row r="189">
      <c r="A189" s="18" t="n"/>
      <c r="B189" s="19" t="n"/>
      <c r="C189" s="19" t="n"/>
      <c r="D189" s="19" t="n"/>
      <c r="E189" s="20" t="n"/>
      <c r="F189" s="20" t="n"/>
      <c r="G189" s="19" t="n"/>
      <c r="H189" s="21">
        <f>IF(A189="","",YEAR(A189)*100+MONTH(A189))</f>
        <v/>
      </c>
    </row>
    <row r="190">
      <c r="A190" s="18" t="n"/>
      <c r="B190" s="19" t="n"/>
      <c r="C190" s="19" t="n"/>
      <c r="D190" s="19" t="n"/>
      <c r="E190" s="20" t="n"/>
      <c r="F190" s="20" t="n"/>
      <c r="G190" s="19" t="n"/>
      <c r="H190" s="21">
        <f>IF(A190="","",YEAR(A190)*100+MONTH(A190))</f>
        <v/>
      </c>
    </row>
    <row r="191">
      <c r="A191" s="18" t="n"/>
      <c r="B191" s="19" t="n"/>
      <c r="C191" s="19" t="n"/>
      <c r="D191" s="19" t="n"/>
      <c r="E191" s="20" t="n"/>
      <c r="F191" s="20" t="n"/>
      <c r="G191" s="19" t="n"/>
      <c r="H191" s="21">
        <f>IF(A191="","",YEAR(A191)*100+MONTH(A191))</f>
        <v/>
      </c>
    </row>
    <row r="192">
      <c r="A192" s="18" t="n"/>
      <c r="B192" s="19" t="n"/>
      <c r="C192" s="19" t="n"/>
      <c r="D192" s="19" t="n"/>
      <c r="E192" s="20" t="n"/>
      <c r="F192" s="20" t="n"/>
      <c r="G192" s="19" t="n"/>
      <c r="H192" s="21">
        <f>IF(A192="","",YEAR(A192)*100+MONTH(A192))</f>
        <v/>
      </c>
    </row>
    <row r="193">
      <c r="A193" s="18" t="n"/>
      <c r="B193" s="19" t="n"/>
      <c r="C193" s="19" t="n"/>
      <c r="D193" s="19" t="n"/>
      <c r="E193" s="20" t="n"/>
      <c r="F193" s="20" t="n"/>
      <c r="G193" s="19" t="n"/>
      <c r="H193" s="21">
        <f>IF(A193="","",YEAR(A193)*100+MONTH(A193))</f>
        <v/>
      </c>
    </row>
    <row r="194">
      <c r="A194" s="18" t="n"/>
      <c r="B194" s="19" t="n"/>
      <c r="C194" s="19" t="n"/>
      <c r="D194" s="19" t="n"/>
      <c r="E194" s="20" t="n"/>
      <c r="F194" s="20" t="n"/>
      <c r="G194" s="19" t="n"/>
      <c r="H194" s="21">
        <f>IF(A194="","",YEAR(A194)*100+MONTH(A194))</f>
        <v/>
      </c>
    </row>
    <row r="195">
      <c r="A195" s="18" t="n"/>
      <c r="B195" s="19" t="n"/>
      <c r="C195" s="19" t="n"/>
      <c r="D195" s="19" t="n"/>
      <c r="E195" s="20" t="n"/>
      <c r="F195" s="20" t="n"/>
      <c r="G195" s="19" t="n"/>
      <c r="H195" s="21">
        <f>IF(A195="","",YEAR(A195)*100+MONTH(A195))</f>
        <v/>
      </c>
    </row>
    <row r="196">
      <c r="A196" s="18" t="n"/>
      <c r="B196" s="19" t="n"/>
      <c r="C196" s="19" t="n"/>
      <c r="D196" s="19" t="n"/>
      <c r="E196" s="20" t="n"/>
      <c r="F196" s="20" t="n"/>
      <c r="G196" s="19" t="n"/>
      <c r="H196" s="21">
        <f>IF(A196="","",YEAR(A196)*100+MONTH(A196))</f>
        <v/>
      </c>
    </row>
    <row r="197">
      <c r="A197" s="18" t="n"/>
      <c r="B197" s="19" t="n"/>
      <c r="C197" s="19" t="n"/>
      <c r="D197" s="19" t="n"/>
      <c r="E197" s="20" t="n"/>
      <c r="F197" s="20" t="n"/>
      <c r="G197" s="19" t="n"/>
      <c r="H197" s="21">
        <f>IF(A197="","",YEAR(A197)*100+MONTH(A197))</f>
        <v/>
      </c>
    </row>
    <row r="198">
      <c r="A198" s="18" t="n"/>
      <c r="B198" s="19" t="n"/>
      <c r="C198" s="19" t="n"/>
      <c r="D198" s="19" t="n"/>
      <c r="E198" s="20" t="n"/>
      <c r="F198" s="20" t="n"/>
      <c r="G198" s="19" t="n"/>
      <c r="H198" s="21">
        <f>IF(A198="","",YEAR(A198)*100+MONTH(A198))</f>
        <v/>
      </c>
    </row>
    <row r="199">
      <c r="A199" s="18" t="n"/>
      <c r="B199" s="19" t="n"/>
      <c r="C199" s="19" t="n"/>
      <c r="D199" s="19" t="n"/>
      <c r="E199" s="20" t="n"/>
      <c r="F199" s="20" t="n"/>
      <c r="G199" s="19" t="n"/>
      <c r="H199" s="21">
        <f>IF(A199="","",YEAR(A199)*100+MONTH(A199))</f>
        <v/>
      </c>
    </row>
    <row r="200">
      <c r="A200" s="18" t="n"/>
      <c r="B200" s="19" t="n"/>
      <c r="C200" s="19" t="n"/>
      <c r="D200" s="19" t="n"/>
      <c r="E200" s="20" t="n"/>
      <c r="F200" s="20" t="n"/>
      <c r="G200" s="19" t="n"/>
      <c r="H200" s="21">
        <f>IF(A200="","",YEAR(A200)*100+MONTH(A200))</f>
        <v/>
      </c>
    </row>
    <row r="201">
      <c r="A201" s="18" t="n"/>
      <c r="B201" s="19" t="n"/>
      <c r="C201" s="19" t="n"/>
      <c r="D201" s="19" t="n"/>
      <c r="E201" s="20" t="n"/>
      <c r="F201" s="20" t="n"/>
      <c r="G201" s="19" t="n"/>
      <c r="H201" s="21">
        <f>IF(A201="","",YEAR(A201)*100+MONTH(A201))</f>
        <v/>
      </c>
    </row>
    <row r="202">
      <c r="A202" s="18" t="n"/>
      <c r="B202" s="19" t="n"/>
      <c r="C202" s="19" t="n"/>
      <c r="D202" s="19" t="n"/>
      <c r="E202" s="20" t="n"/>
      <c r="F202" s="20" t="n"/>
      <c r="G202" s="19" t="n"/>
      <c r="H202" s="21">
        <f>IF(A202="","",YEAR(A202)*100+MONTH(A202))</f>
        <v/>
      </c>
    </row>
    <row r="203">
      <c r="A203" s="18" t="n"/>
      <c r="B203" s="19" t="n"/>
      <c r="C203" s="19" t="n"/>
      <c r="D203" s="19" t="n"/>
      <c r="E203" s="20" t="n"/>
      <c r="F203" s="20" t="n"/>
      <c r="G203" s="19" t="n"/>
      <c r="H203" s="21">
        <f>IF(A203="","",YEAR(A203)*100+MONTH(A203))</f>
        <v/>
      </c>
    </row>
    <row r="204">
      <c r="A204" s="18" t="n"/>
      <c r="B204" s="19" t="n"/>
      <c r="C204" s="19" t="n"/>
      <c r="D204" s="19" t="n"/>
      <c r="E204" s="20" t="n"/>
      <c r="F204" s="20" t="n"/>
      <c r="G204" s="19" t="n"/>
      <c r="H204" s="21">
        <f>IF(A204="","",YEAR(A204)*100+MONTH(A204))</f>
        <v/>
      </c>
    </row>
    <row r="205">
      <c r="A205" s="18" t="n"/>
      <c r="B205" s="19" t="n"/>
      <c r="C205" s="19" t="n"/>
      <c r="D205" s="19" t="n"/>
      <c r="E205" s="20" t="n"/>
      <c r="F205" s="20" t="n"/>
      <c r="G205" s="19" t="n"/>
      <c r="H205" s="21">
        <f>IF(A205="","",YEAR(A205)*100+MONTH(A205))</f>
        <v/>
      </c>
    </row>
    <row r="206">
      <c r="A206" s="18" t="n"/>
      <c r="B206" s="19" t="n"/>
      <c r="C206" s="19" t="n"/>
      <c r="D206" s="19" t="n"/>
      <c r="E206" s="20" t="n"/>
      <c r="F206" s="20" t="n"/>
      <c r="G206" s="19" t="n"/>
      <c r="H206" s="21">
        <f>IF(A206="","",YEAR(A206)*100+MONTH(A206))</f>
        <v/>
      </c>
    </row>
    <row r="207">
      <c r="A207" s="18" t="n"/>
      <c r="B207" s="19" t="n"/>
      <c r="C207" s="19" t="n"/>
      <c r="D207" s="19" t="n"/>
      <c r="E207" s="20" t="n"/>
      <c r="F207" s="20" t="n"/>
      <c r="G207" s="19" t="n"/>
      <c r="H207" s="21">
        <f>IF(A207="","",YEAR(A207)*100+MONTH(A207))</f>
        <v/>
      </c>
    </row>
    <row r="208">
      <c r="A208" s="18" t="n"/>
      <c r="B208" s="19" t="n"/>
      <c r="C208" s="19" t="n"/>
      <c r="D208" s="19" t="n"/>
      <c r="E208" s="20" t="n"/>
      <c r="F208" s="20" t="n"/>
      <c r="G208" s="19" t="n"/>
      <c r="H208" s="21">
        <f>IF(A208="","",YEAR(A208)*100+MONTH(A208))</f>
        <v/>
      </c>
    </row>
    <row r="209">
      <c r="A209" s="18" t="n"/>
      <c r="B209" s="19" t="n"/>
      <c r="C209" s="19" t="n"/>
      <c r="D209" s="19" t="n"/>
      <c r="E209" s="20" t="n"/>
      <c r="F209" s="20" t="n"/>
      <c r="G209" s="19" t="n"/>
      <c r="H209" s="21">
        <f>IF(A209="","",YEAR(A209)*100+MONTH(A209))</f>
        <v/>
      </c>
    </row>
    <row r="210">
      <c r="A210" s="18" t="n"/>
      <c r="B210" s="19" t="n"/>
      <c r="C210" s="19" t="n"/>
      <c r="D210" s="19" t="n"/>
      <c r="E210" s="20" t="n"/>
      <c r="F210" s="20" t="n"/>
      <c r="G210" s="19" t="n"/>
      <c r="H210" s="21">
        <f>IF(A210="","",YEAR(A210)*100+MONTH(A210))</f>
        <v/>
      </c>
    </row>
    <row r="211">
      <c r="A211" s="18" t="n"/>
      <c r="B211" s="19" t="n"/>
      <c r="C211" s="19" t="n"/>
      <c r="D211" s="19" t="n"/>
      <c r="E211" s="20" t="n"/>
      <c r="F211" s="20" t="n"/>
      <c r="G211" s="19" t="n"/>
      <c r="H211" s="21">
        <f>IF(A211="","",YEAR(A211)*100+MONTH(A211))</f>
        <v/>
      </c>
    </row>
    <row r="212">
      <c r="A212" s="18" t="n"/>
      <c r="B212" s="19" t="n"/>
      <c r="C212" s="19" t="n"/>
      <c r="D212" s="19" t="n"/>
      <c r="E212" s="20" t="n"/>
      <c r="F212" s="20" t="n"/>
      <c r="G212" s="19" t="n"/>
      <c r="H212" s="21">
        <f>IF(A212="","",YEAR(A212)*100+MONTH(A212))</f>
        <v/>
      </c>
    </row>
    <row r="213">
      <c r="A213" s="18" t="n"/>
      <c r="B213" s="19" t="n"/>
      <c r="C213" s="19" t="n"/>
      <c r="D213" s="19" t="n"/>
      <c r="E213" s="20" t="n"/>
      <c r="F213" s="20" t="n"/>
      <c r="G213" s="19" t="n"/>
      <c r="H213" s="21">
        <f>IF(A213="","",YEAR(A213)*100+MONTH(A213))</f>
        <v/>
      </c>
    </row>
    <row r="214">
      <c r="A214" s="18" t="n"/>
      <c r="B214" s="19" t="n"/>
      <c r="C214" s="19" t="n"/>
      <c r="D214" s="19" t="n"/>
      <c r="E214" s="20" t="n"/>
      <c r="F214" s="20" t="n"/>
      <c r="G214" s="19" t="n"/>
      <c r="H214" s="21">
        <f>IF(A214="","",YEAR(A214)*100+MONTH(A214))</f>
        <v/>
      </c>
    </row>
    <row r="215">
      <c r="A215" s="18" t="n"/>
      <c r="B215" s="19" t="n"/>
      <c r="C215" s="19" t="n"/>
      <c r="D215" s="19" t="n"/>
      <c r="E215" s="20" t="n"/>
      <c r="F215" s="20" t="n"/>
      <c r="G215" s="19" t="n"/>
      <c r="H215" s="21">
        <f>IF(A215="","",YEAR(A215)*100+MONTH(A215))</f>
        <v/>
      </c>
    </row>
    <row r="216">
      <c r="A216" s="18" t="n"/>
      <c r="B216" s="19" t="n"/>
      <c r="C216" s="19" t="n"/>
      <c r="D216" s="19" t="n"/>
      <c r="E216" s="20" t="n"/>
      <c r="F216" s="20" t="n"/>
      <c r="G216" s="19" t="n"/>
      <c r="H216" s="21">
        <f>IF(A216="","",YEAR(A216)*100+MONTH(A216))</f>
        <v/>
      </c>
    </row>
    <row r="217">
      <c r="A217" s="18" t="n"/>
      <c r="B217" s="19" t="n"/>
      <c r="C217" s="19" t="n"/>
      <c r="D217" s="19" t="n"/>
      <c r="E217" s="20" t="n"/>
      <c r="F217" s="20" t="n"/>
      <c r="G217" s="19" t="n"/>
      <c r="H217" s="21">
        <f>IF(A217="","",YEAR(A217)*100+MONTH(A217))</f>
        <v/>
      </c>
    </row>
    <row r="218">
      <c r="A218" s="18" t="n"/>
      <c r="B218" s="19" t="n"/>
      <c r="C218" s="19" t="n"/>
      <c r="D218" s="19" t="n"/>
      <c r="E218" s="20" t="n"/>
      <c r="F218" s="20" t="n"/>
      <c r="G218" s="19" t="n"/>
      <c r="H218" s="21">
        <f>IF(A218="","",YEAR(A218)*100+MONTH(A218))</f>
        <v/>
      </c>
    </row>
    <row r="219">
      <c r="A219" s="18" t="n"/>
      <c r="B219" s="19" t="n"/>
      <c r="C219" s="19" t="n"/>
      <c r="D219" s="19" t="n"/>
      <c r="E219" s="20" t="n"/>
      <c r="F219" s="20" t="n"/>
      <c r="G219" s="19" t="n"/>
      <c r="H219" s="21">
        <f>IF(A219="","",YEAR(A219)*100+MONTH(A219))</f>
        <v/>
      </c>
    </row>
    <row r="220">
      <c r="A220" s="18" t="n"/>
      <c r="B220" s="19" t="n"/>
      <c r="C220" s="19" t="n"/>
      <c r="D220" s="19" t="n"/>
      <c r="E220" s="20" t="n"/>
      <c r="F220" s="20" t="n"/>
      <c r="G220" s="19" t="n"/>
      <c r="H220" s="21">
        <f>IF(A220="","",YEAR(A220)*100+MONTH(A220))</f>
        <v/>
      </c>
    </row>
    <row r="221">
      <c r="A221" s="18" t="n"/>
      <c r="B221" s="19" t="n"/>
      <c r="C221" s="19" t="n"/>
      <c r="D221" s="19" t="n"/>
      <c r="E221" s="20" t="n"/>
      <c r="F221" s="20" t="n"/>
      <c r="G221" s="19" t="n"/>
      <c r="H221" s="21">
        <f>IF(A221="","",YEAR(A221)*100+MONTH(A221))</f>
        <v/>
      </c>
    </row>
    <row r="222">
      <c r="A222" s="18" t="n"/>
      <c r="B222" s="19" t="n"/>
      <c r="C222" s="19" t="n"/>
      <c r="D222" s="19" t="n"/>
      <c r="E222" s="20" t="n"/>
      <c r="F222" s="20" t="n"/>
      <c r="G222" s="19" t="n"/>
      <c r="H222" s="21">
        <f>IF(A222="","",YEAR(A222)*100+MONTH(A222))</f>
        <v/>
      </c>
    </row>
    <row r="223">
      <c r="A223" s="18" t="n"/>
      <c r="B223" s="19" t="n"/>
      <c r="C223" s="19" t="n"/>
      <c r="D223" s="19" t="n"/>
      <c r="E223" s="20" t="n"/>
      <c r="F223" s="20" t="n"/>
      <c r="G223" s="19" t="n"/>
      <c r="H223" s="21">
        <f>IF(A223="","",YEAR(A223)*100+MONTH(A223))</f>
        <v/>
      </c>
    </row>
    <row r="224">
      <c r="A224" s="18" t="n"/>
      <c r="B224" s="19" t="n"/>
      <c r="C224" s="19" t="n"/>
      <c r="D224" s="19" t="n"/>
      <c r="E224" s="20" t="n"/>
      <c r="F224" s="20" t="n"/>
      <c r="G224" s="19" t="n"/>
      <c r="H224" s="21">
        <f>IF(A224="","",YEAR(A224)*100+MONTH(A224))</f>
        <v/>
      </c>
    </row>
    <row r="225">
      <c r="A225" s="18" t="n"/>
      <c r="B225" s="19" t="n"/>
      <c r="C225" s="19" t="n"/>
      <c r="D225" s="19" t="n"/>
      <c r="E225" s="20" t="n"/>
      <c r="F225" s="20" t="n"/>
      <c r="G225" s="19" t="n"/>
      <c r="H225" s="21">
        <f>IF(A225="","",YEAR(A225)*100+MONTH(A225))</f>
        <v/>
      </c>
    </row>
    <row r="226">
      <c r="A226" s="18" t="n"/>
      <c r="B226" s="19" t="n"/>
      <c r="C226" s="19" t="n"/>
      <c r="D226" s="19" t="n"/>
      <c r="E226" s="20" t="n"/>
      <c r="F226" s="20" t="n"/>
      <c r="G226" s="19" t="n"/>
      <c r="H226" s="21">
        <f>IF(A226="","",YEAR(A226)*100+MONTH(A226))</f>
        <v/>
      </c>
    </row>
    <row r="227">
      <c r="A227" s="18" t="n"/>
      <c r="B227" s="19" t="n"/>
      <c r="C227" s="19" t="n"/>
      <c r="D227" s="19" t="n"/>
      <c r="E227" s="20" t="n"/>
      <c r="F227" s="20" t="n"/>
      <c r="G227" s="19" t="n"/>
      <c r="H227" s="21">
        <f>IF(A227="","",YEAR(A227)*100+MONTH(A227))</f>
        <v/>
      </c>
    </row>
    <row r="228">
      <c r="A228" s="18" t="n"/>
      <c r="B228" s="19" t="n"/>
      <c r="C228" s="19" t="n"/>
      <c r="D228" s="19" t="n"/>
      <c r="E228" s="20" t="n"/>
      <c r="F228" s="20" t="n"/>
      <c r="G228" s="19" t="n"/>
      <c r="H228" s="21">
        <f>IF(A228="","",YEAR(A228)*100+MONTH(A228))</f>
        <v/>
      </c>
    </row>
    <row r="229">
      <c r="A229" s="18" t="n"/>
      <c r="B229" s="19" t="n"/>
      <c r="C229" s="19" t="n"/>
      <c r="D229" s="19" t="n"/>
      <c r="E229" s="20" t="n"/>
      <c r="F229" s="20" t="n"/>
      <c r="G229" s="19" t="n"/>
      <c r="H229" s="21">
        <f>IF(A229="","",YEAR(A229)*100+MONTH(A229))</f>
        <v/>
      </c>
    </row>
    <row r="230">
      <c r="A230" s="18" t="n"/>
      <c r="B230" s="19" t="n"/>
      <c r="C230" s="19" t="n"/>
      <c r="D230" s="19" t="n"/>
      <c r="E230" s="20" t="n"/>
      <c r="F230" s="20" t="n"/>
      <c r="G230" s="19" t="n"/>
      <c r="H230" s="21">
        <f>IF(A230="","",YEAR(A230)*100+MONTH(A230))</f>
        <v/>
      </c>
    </row>
    <row r="231">
      <c r="A231" s="18" t="n"/>
      <c r="B231" s="19" t="n"/>
      <c r="C231" s="19" t="n"/>
      <c r="D231" s="19" t="n"/>
      <c r="E231" s="20" t="n"/>
      <c r="F231" s="20" t="n"/>
      <c r="G231" s="19" t="n"/>
      <c r="H231" s="21">
        <f>IF(A231="","",YEAR(A231)*100+MONTH(A231))</f>
        <v/>
      </c>
    </row>
    <row r="232">
      <c r="A232" s="18" t="n"/>
      <c r="B232" s="19" t="n"/>
      <c r="C232" s="19" t="n"/>
      <c r="D232" s="19" t="n"/>
      <c r="E232" s="20" t="n"/>
      <c r="F232" s="20" t="n"/>
      <c r="G232" s="19" t="n"/>
      <c r="H232" s="21">
        <f>IF(A232="","",YEAR(A232)*100+MONTH(A232))</f>
        <v/>
      </c>
    </row>
    <row r="233">
      <c r="A233" s="18" t="n"/>
      <c r="B233" s="19" t="n"/>
      <c r="C233" s="19" t="n"/>
      <c r="D233" s="19" t="n"/>
      <c r="E233" s="20" t="n"/>
      <c r="F233" s="20" t="n"/>
      <c r="G233" s="19" t="n"/>
      <c r="H233" s="21">
        <f>IF(A233="","",YEAR(A233)*100+MONTH(A233))</f>
        <v/>
      </c>
    </row>
    <row r="234">
      <c r="A234" s="18" t="n"/>
      <c r="B234" s="19" t="n"/>
      <c r="C234" s="19" t="n"/>
      <c r="D234" s="19" t="n"/>
      <c r="E234" s="20" t="n"/>
      <c r="F234" s="20" t="n"/>
      <c r="G234" s="19" t="n"/>
      <c r="H234" s="21">
        <f>IF(A234="","",YEAR(A234)*100+MONTH(A234))</f>
        <v/>
      </c>
    </row>
    <row r="235">
      <c r="A235" s="18" t="n"/>
      <c r="B235" s="19" t="n"/>
      <c r="C235" s="19" t="n"/>
      <c r="D235" s="19" t="n"/>
      <c r="E235" s="20" t="n"/>
      <c r="F235" s="20" t="n"/>
      <c r="G235" s="19" t="n"/>
      <c r="H235" s="21">
        <f>IF(A235="","",YEAR(A235)*100+MONTH(A235))</f>
        <v/>
      </c>
    </row>
    <row r="236">
      <c r="A236" s="18" t="n"/>
      <c r="B236" s="19" t="n"/>
      <c r="C236" s="19" t="n"/>
      <c r="D236" s="19" t="n"/>
      <c r="E236" s="20" t="n"/>
      <c r="F236" s="20" t="n"/>
      <c r="G236" s="19" t="n"/>
      <c r="H236" s="21">
        <f>IF(A236="","",YEAR(A236)*100+MONTH(A236))</f>
        <v/>
      </c>
    </row>
    <row r="237">
      <c r="A237" s="18" t="n"/>
      <c r="B237" s="19" t="n"/>
      <c r="C237" s="19" t="n"/>
      <c r="D237" s="19" t="n"/>
      <c r="E237" s="20" t="n"/>
      <c r="F237" s="20" t="n"/>
      <c r="G237" s="19" t="n"/>
      <c r="H237" s="21">
        <f>IF(A237="","",YEAR(A237)*100+MONTH(A237))</f>
        <v/>
      </c>
    </row>
    <row r="238">
      <c r="A238" s="18" t="n"/>
      <c r="B238" s="19" t="n"/>
      <c r="C238" s="19" t="n"/>
      <c r="D238" s="19" t="n"/>
      <c r="E238" s="20" t="n"/>
      <c r="F238" s="20" t="n"/>
      <c r="G238" s="19" t="n"/>
      <c r="H238" s="21">
        <f>IF(A238="","",YEAR(A238)*100+MONTH(A238))</f>
        <v/>
      </c>
    </row>
    <row r="239">
      <c r="A239" s="18" t="n"/>
      <c r="B239" s="19" t="n"/>
      <c r="C239" s="19" t="n"/>
      <c r="D239" s="19" t="n"/>
      <c r="E239" s="20" t="n"/>
      <c r="F239" s="20" t="n"/>
      <c r="G239" s="19" t="n"/>
      <c r="H239" s="21">
        <f>IF(A239="","",YEAR(A239)*100+MONTH(A239))</f>
        <v/>
      </c>
    </row>
    <row r="240">
      <c r="A240" s="18" t="n"/>
      <c r="B240" s="19" t="n"/>
      <c r="C240" s="19" t="n"/>
      <c r="D240" s="19" t="n"/>
      <c r="E240" s="20" t="n"/>
      <c r="F240" s="20" t="n"/>
      <c r="G240" s="19" t="n"/>
      <c r="H240" s="21">
        <f>IF(A240="","",YEAR(A240)*100+MONTH(A240))</f>
        <v/>
      </c>
    </row>
    <row r="241">
      <c r="A241" s="18" t="n"/>
      <c r="B241" s="19" t="n"/>
      <c r="C241" s="19" t="n"/>
      <c r="D241" s="19" t="n"/>
      <c r="E241" s="20" t="n"/>
      <c r="F241" s="20" t="n"/>
      <c r="G241" s="19" t="n"/>
      <c r="H241" s="21">
        <f>IF(A241="","",YEAR(A241)*100+MONTH(A241))</f>
        <v/>
      </c>
    </row>
    <row r="242">
      <c r="A242" s="18" t="n"/>
      <c r="B242" s="19" t="n"/>
      <c r="C242" s="19" t="n"/>
      <c r="D242" s="19" t="n"/>
      <c r="E242" s="20" t="n"/>
      <c r="F242" s="20" t="n"/>
      <c r="G242" s="19" t="n"/>
      <c r="H242" s="21">
        <f>IF(A242="","",YEAR(A242)*100+MONTH(A242))</f>
        <v/>
      </c>
    </row>
    <row r="243">
      <c r="A243" s="18" t="n"/>
      <c r="B243" s="19" t="n"/>
      <c r="C243" s="19" t="n"/>
      <c r="D243" s="19" t="n"/>
      <c r="E243" s="20" t="n"/>
      <c r="F243" s="20" t="n"/>
      <c r="G243" s="19" t="n"/>
      <c r="H243" s="21">
        <f>IF(A243="","",YEAR(A243)*100+MONTH(A243))</f>
        <v/>
      </c>
    </row>
    <row r="244">
      <c r="A244" s="18" t="n"/>
      <c r="B244" s="19" t="n"/>
      <c r="C244" s="19" t="n"/>
      <c r="D244" s="19" t="n"/>
      <c r="E244" s="20" t="n"/>
      <c r="F244" s="20" t="n"/>
      <c r="G244" s="19" t="n"/>
      <c r="H244" s="21">
        <f>IF(A244="","",YEAR(A244)*100+MONTH(A244))</f>
        <v/>
      </c>
    </row>
    <row r="245">
      <c r="A245" s="18" t="n"/>
      <c r="B245" s="19" t="n"/>
      <c r="C245" s="19" t="n"/>
      <c r="D245" s="19" t="n"/>
      <c r="E245" s="20" t="n"/>
      <c r="F245" s="20" t="n"/>
      <c r="G245" s="19" t="n"/>
      <c r="H245" s="21">
        <f>IF(A245="","",YEAR(A245)*100+MONTH(A245))</f>
        <v/>
      </c>
    </row>
    <row r="246">
      <c r="A246" s="18" t="n"/>
      <c r="B246" s="19" t="n"/>
      <c r="C246" s="19" t="n"/>
      <c r="D246" s="19" t="n"/>
      <c r="E246" s="20" t="n"/>
      <c r="F246" s="20" t="n"/>
      <c r="G246" s="19" t="n"/>
      <c r="H246" s="21">
        <f>IF(A246="","",YEAR(A246)*100+MONTH(A246))</f>
        <v/>
      </c>
    </row>
    <row r="247">
      <c r="A247" s="18" t="n"/>
      <c r="B247" s="19" t="n"/>
      <c r="C247" s="19" t="n"/>
      <c r="D247" s="19" t="n"/>
      <c r="E247" s="20" t="n"/>
      <c r="F247" s="20" t="n"/>
      <c r="G247" s="19" t="n"/>
      <c r="H247" s="21">
        <f>IF(A247="","",YEAR(A247)*100+MONTH(A247))</f>
        <v/>
      </c>
    </row>
    <row r="248">
      <c r="A248" s="18" t="n"/>
      <c r="B248" s="19" t="n"/>
      <c r="C248" s="19" t="n"/>
      <c r="D248" s="19" t="n"/>
      <c r="E248" s="20" t="n"/>
      <c r="F248" s="20" t="n"/>
      <c r="G248" s="19" t="n"/>
      <c r="H248" s="21">
        <f>IF(A248="","",YEAR(A248)*100+MONTH(A248))</f>
        <v/>
      </c>
    </row>
    <row r="249">
      <c r="A249" s="18" t="n"/>
      <c r="B249" s="19" t="n"/>
      <c r="C249" s="19" t="n"/>
      <c r="D249" s="19" t="n"/>
      <c r="E249" s="20" t="n"/>
      <c r="F249" s="20" t="n"/>
      <c r="G249" s="19" t="n"/>
      <c r="H249" s="21">
        <f>IF(A249="","",YEAR(A249)*100+MONTH(A249))</f>
        <v/>
      </c>
    </row>
    <row r="250">
      <c r="A250" s="18" t="n"/>
      <c r="B250" s="19" t="n"/>
      <c r="C250" s="19" t="n"/>
      <c r="D250" s="19" t="n"/>
      <c r="E250" s="20" t="n"/>
      <c r="F250" s="20" t="n"/>
      <c r="G250" s="19" t="n"/>
      <c r="H250" s="21">
        <f>IF(A250="","",YEAR(A250)*100+MONTH(A250))</f>
        <v/>
      </c>
    </row>
    <row r="251">
      <c r="A251" s="18" t="n"/>
      <c r="B251" s="19" t="n"/>
      <c r="C251" s="19" t="n"/>
      <c r="D251" s="19" t="n"/>
      <c r="E251" s="20" t="n"/>
      <c r="F251" s="20" t="n"/>
      <c r="G251" s="19" t="n"/>
      <c r="H251" s="21">
        <f>IF(A251="","",YEAR(A251)*100+MONTH(A251))</f>
        <v/>
      </c>
    </row>
    <row r="252">
      <c r="A252" s="18" t="n"/>
      <c r="B252" s="19" t="n"/>
      <c r="C252" s="19" t="n"/>
      <c r="D252" s="19" t="n"/>
      <c r="E252" s="20" t="n"/>
      <c r="F252" s="20" t="n"/>
      <c r="G252" s="19" t="n"/>
      <c r="H252" s="21">
        <f>IF(A252="","",YEAR(A252)*100+MONTH(A252))</f>
        <v/>
      </c>
    </row>
    <row r="253">
      <c r="A253" s="18" t="n"/>
      <c r="B253" s="19" t="n"/>
      <c r="C253" s="19" t="n"/>
      <c r="D253" s="19" t="n"/>
      <c r="E253" s="20" t="n"/>
      <c r="F253" s="20" t="n"/>
      <c r="G253" s="19" t="n"/>
      <c r="H253" s="21">
        <f>IF(A253="","",YEAR(A253)*100+MONTH(A253))</f>
        <v/>
      </c>
    </row>
    <row r="254">
      <c r="A254" s="18" t="n"/>
      <c r="B254" s="19" t="n"/>
      <c r="C254" s="19" t="n"/>
      <c r="D254" s="19" t="n"/>
      <c r="E254" s="20" t="n"/>
      <c r="F254" s="20" t="n"/>
      <c r="G254" s="19" t="n"/>
      <c r="H254" s="21">
        <f>IF(A254="","",YEAR(A254)*100+MONTH(A254))</f>
        <v/>
      </c>
    </row>
    <row r="255">
      <c r="A255" s="18" t="n"/>
      <c r="B255" s="19" t="n"/>
      <c r="C255" s="19" t="n"/>
      <c r="D255" s="19" t="n"/>
      <c r="E255" s="20" t="n"/>
      <c r="F255" s="20" t="n"/>
      <c r="G255" s="19" t="n"/>
      <c r="H255" s="21">
        <f>IF(A255="","",YEAR(A255)*100+MONTH(A255))</f>
        <v/>
      </c>
    </row>
    <row r="256">
      <c r="A256" s="18" t="n"/>
      <c r="B256" s="19" t="n"/>
      <c r="C256" s="19" t="n"/>
      <c r="D256" s="19" t="n"/>
      <c r="E256" s="20" t="n"/>
      <c r="F256" s="20" t="n"/>
      <c r="G256" s="19" t="n"/>
      <c r="H256" s="21">
        <f>IF(A256="","",YEAR(A256)*100+MONTH(A256))</f>
        <v/>
      </c>
    </row>
    <row r="257">
      <c r="A257" s="18" t="n"/>
      <c r="B257" s="19" t="n"/>
      <c r="C257" s="19" t="n"/>
      <c r="D257" s="19" t="n"/>
      <c r="E257" s="20" t="n"/>
      <c r="F257" s="20" t="n"/>
      <c r="G257" s="19" t="n"/>
      <c r="H257" s="21">
        <f>IF(A257="","",YEAR(A257)*100+MONTH(A257))</f>
        <v/>
      </c>
    </row>
    <row r="258">
      <c r="A258" s="18" t="n"/>
      <c r="B258" s="19" t="n"/>
      <c r="C258" s="19" t="n"/>
      <c r="D258" s="19" t="n"/>
      <c r="E258" s="20" t="n"/>
      <c r="F258" s="20" t="n"/>
      <c r="G258" s="19" t="n"/>
      <c r="H258" s="21">
        <f>IF(A258="","",YEAR(A258)*100+MONTH(A258))</f>
        <v/>
      </c>
    </row>
    <row r="259">
      <c r="A259" s="18" t="n"/>
      <c r="B259" s="19" t="n"/>
      <c r="C259" s="19" t="n"/>
      <c r="D259" s="19" t="n"/>
      <c r="E259" s="20" t="n"/>
      <c r="F259" s="20" t="n"/>
      <c r="G259" s="19" t="n"/>
      <c r="H259" s="21">
        <f>IF(A259="","",YEAR(A259)*100+MONTH(A259))</f>
        <v/>
      </c>
    </row>
    <row r="260">
      <c r="A260" s="18" t="n"/>
      <c r="B260" s="19" t="n"/>
      <c r="C260" s="19" t="n"/>
      <c r="D260" s="19" t="n"/>
      <c r="E260" s="20" t="n"/>
      <c r="F260" s="20" t="n"/>
      <c r="G260" s="19" t="n"/>
      <c r="H260" s="21">
        <f>IF(A260="","",YEAR(A260)*100+MONTH(A260))</f>
        <v/>
      </c>
    </row>
    <row r="261">
      <c r="A261" s="18" t="n"/>
      <c r="B261" s="19" t="n"/>
      <c r="C261" s="19" t="n"/>
      <c r="D261" s="19" t="n"/>
      <c r="E261" s="20" t="n"/>
      <c r="F261" s="20" t="n"/>
      <c r="G261" s="19" t="n"/>
      <c r="H261" s="21">
        <f>IF(A261="","",YEAR(A261)*100+MONTH(A261))</f>
        <v/>
      </c>
    </row>
    <row r="262">
      <c r="A262" s="18" t="n"/>
      <c r="B262" s="19" t="n"/>
      <c r="C262" s="19" t="n"/>
      <c r="D262" s="19" t="n"/>
      <c r="E262" s="20" t="n"/>
      <c r="F262" s="20" t="n"/>
      <c r="G262" s="19" t="n"/>
      <c r="H262" s="21">
        <f>IF(A262="","",YEAR(A262)*100+MONTH(A262))</f>
        <v/>
      </c>
    </row>
    <row r="263">
      <c r="A263" s="18" t="n"/>
      <c r="B263" s="19" t="n"/>
      <c r="C263" s="19" t="n"/>
      <c r="D263" s="19" t="n"/>
      <c r="E263" s="20" t="n"/>
      <c r="F263" s="20" t="n"/>
      <c r="G263" s="19" t="n"/>
      <c r="H263" s="21">
        <f>IF(A263="","",YEAR(A263)*100+MONTH(A263))</f>
        <v/>
      </c>
    </row>
    <row r="264">
      <c r="A264" s="18" t="n"/>
      <c r="B264" s="19" t="n"/>
      <c r="C264" s="19" t="n"/>
      <c r="D264" s="19" t="n"/>
      <c r="E264" s="20" t="n"/>
      <c r="F264" s="20" t="n"/>
      <c r="G264" s="19" t="n"/>
      <c r="H264" s="21">
        <f>IF(A264="","",YEAR(A264)*100+MONTH(A264))</f>
        <v/>
      </c>
    </row>
    <row r="265">
      <c r="A265" s="18" t="n"/>
      <c r="B265" s="19" t="n"/>
      <c r="C265" s="19" t="n"/>
      <c r="D265" s="19" t="n"/>
      <c r="E265" s="20" t="n"/>
      <c r="F265" s="20" t="n"/>
      <c r="G265" s="19" t="n"/>
      <c r="H265" s="21">
        <f>IF(A265="","",YEAR(A265)*100+MONTH(A265))</f>
        <v/>
      </c>
    </row>
    <row r="266">
      <c r="A266" s="18" t="n"/>
      <c r="B266" s="19" t="n"/>
      <c r="C266" s="19" t="n"/>
      <c r="D266" s="19" t="n"/>
      <c r="E266" s="20" t="n"/>
      <c r="F266" s="20" t="n"/>
      <c r="G266" s="19" t="n"/>
      <c r="H266" s="21">
        <f>IF(A266="","",YEAR(A266)*100+MONTH(A266))</f>
        <v/>
      </c>
    </row>
    <row r="267">
      <c r="A267" s="18" t="n"/>
      <c r="B267" s="19" t="n"/>
      <c r="C267" s="19" t="n"/>
      <c r="D267" s="19" t="n"/>
      <c r="E267" s="20" t="n"/>
      <c r="F267" s="20" t="n"/>
      <c r="G267" s="19" t="n"/>
      <c r="H267" s="21">
        <f>IF(A267="","",YEAR(A267)*100+MONTH(A267))</f>
        <v/>
      </c>
    </row>
    <row r="268">
      <c r="A268" s="18" t="n"/>
      <c r="B268" s="19" t="n"/>
      <c r="C268" s="19" t="n"/>
      <c r="D268" s="19" t="n"/>
      <c r="E268" s="20" t="n"/>
      <c r="F268" s="20" t="n"/>
      <c r="G268" s="19" t="n"/>
      <c r="H268" s="21">
        <f>IF(A268="","",YEAR(A268)*100+MONTH(A268))</f>
        <v/>
      </c>
    </row>
    <row r="269">
      <c r="A269" s="18" t="n"/>
      <c r="B269" s="19" t="n"/>
      <c r="C269" s="19" t="n"/>
      <c r="D269" s="19" t="n"/>
      <c r="E269" s="20" t="n"/>
      <c r="F269" s="20" t="n"/>
      <c r="G269" s="19" t="n"/>
      <c r="H269" s="21">
        <f>IF(A269="","",YEAR(A269)*100+MONTH(A269))</f>
        <v/>
      </c>
    </row>
    <row r="270">
      <c r="A270" s="18" t="n"/>
      <c r="B270" s="19" t="n"/>
      <c r="C270" s="19" t="n"/>
      <c r="D270" s="19" t="n"/>
      <c r="E270" s="20" t="n"/>
      <c r="F270" s="20" t="n"/>
      <c r="G270" s="19" t="n"/>
      <c r="H270" s="21">
        <f>IF(A270="","",YEAR(A270)*100+MONTH(A270))</f>
        <v/>
      </c>
    </row>
    <row r="271">
      <c r="A271" s="18" t="n"/>
      <c r="B271" s="19" t="n"/>
      <c r="C271" s="19" t="n"/>
      <c r="D271" s="19" t="n"/>
      <c r="E271" s="20" t="n"/>
      <c r="F271" s="20" t="n"/>
      <c r="G271" s="19" t="n"/>
      <c r="H271" s="21">
        <f>IF(A271="","",YEAR(A271)*100+MONTH(A271))</f>
        <v/>
      </c>
    </row>
    <row r="272">
      <c r="A272" s="18" t="n"/>
      <c r="B272" s="19" t="n"/>
      <c r="C272" s="19" t="n"/>
      <c r="D272" s="19" t="n"/>
      <c r="E272" s="20" t="n"/>
      <c r="F272" s="20" t="n"/>
      <c r="G272" s="19" t="n"/>
      <c r="H272" s="21">
        <f>IF(A272="","",YEAR(A272)*100+MONTH(A272))</f>
        <v/>
      </c>
    </row>
    <row r="273">
      <c r="A273" s="18" t="n"/>
      <c r="B273" s="19" t="n"/>
      <c r="C273" s="19" t="n"/>
      <c r="D273" s="19" t="n"/>
      <c r="E273" s="20" t="n"/>
      <c r="F273" s="20" t="n"/>
      <c r="G273" s="19" t="n"/>
      <c r="H273" s="21">
        <f>IF(A273="","",YEAR(A273)*100+MONTH(A273))</f>
        <v/>
      </c>
    </row>
    <row r="274">
      <c r="A274" s="18" t="n"/>
      <c r="B274" s="19" t="n"/>
      <c r="C274" s="19" t="n"/>
      <c r="D274" s="19" t="n"/>
      <c r="E274" s="20" t="n"/>
      <c r="F274" s="20" t="n"/>
      <c r="G274" s="19" t="n"/>
      <c r="H274" s="21">
        <f>IF(A274="","",YEAR(A274)*100+MONTH(A274))</f>
        <v/>
      </c>
    </row>
    <row r="275">
      <c r="A275" s="18" t="n"/>
      <c r="B275" s="19" t="n"/>
      <c r="C275" s="19" t="n"/>
      <c r="D275" s="19" t="n"/>
      <c r="E275" s="20" t="n"/>
      <c r="F275" s="20" t="n"/>
      <c r="G275" s="19" t="n"/>
      <c r="H275" s="21">
        <f>IF(A275="","",YEAR(A275)*100+MONTH(A275))</f>
        <v/>
      </c>
    </row>
    <row r="276">
      <c r="A276" s="18" t="n"/>
      <c r="B276" s="19" t="n"/>
      <c r="C276" s="19" t="n"/>
      <c r="D276" s="19" t="n"/>
      <c r="E276" s="20" t="n"/>
      <c r="F276" s="20" t="n"/>
      <c r="G276" s="19" t="n"/>
      <c r="H276" s="21">
        <f>IF(A276="","",YEAR(A276)*100+MONTH(A276))</f>
        <v/>
      </c>
    </row>
    <row r="277">
      <c r="A277" s="18" t="n"/>
      <c r="B277" s="19" t="n"/>
      <c r="C277" s="19" t="n"/>
      <c r="D277" s="19" t="n"/>
      <c r="E277" s="20" t="n"/>
      <c r="F277" s="20" t="n"/>
      <c r="G277" s="19" t="n"/>
      <c r="H277" s="21">
        <f>IF(A277="","",YEAR(A277)*100+MONTH(A277))</f>
        <v/>
      </c>
    </row>
    <row r="278">
      <c r="A278" s="18" t="n"/>
      <c r="B278" s="19" t="n"/>
      <c r="C278" s="19" t="n"/>
      <c r="D278" s="19" t="n"/>
      <c r="E278" s="20" t="n"/>
      <c r="F278" s="20" t="n"/>
      <c r="G278" s="19" t="n"/>
      <c r="H278" s="21">
        <f>IF(A278="","",YEAR(A278)*100+MONTH(A278))</f>
        <v/>
      </c>
    </row>
    <row r="279">
      <c r="A279" s="18" t="n"/>
      <c r="B279" s="19" t="n"/>
      <c r="C279" s="19" t="n"/>
      <c r="D279" s="19" t="n"/>
      <c r="E279" s="20" t="n"/>
      <c r="F279" s="20" t="n"/>
      <c r="G279" s="19" t="n"/>
      <c r="H279" s="21">
        <f>IF(A279="","",YEAR(A279)*100+MONTH(A279))</f>
        <v/>
      </c>
    </row>
    <row r="280">
      <c r="A280" s="18" t="n"/>
      <c r="B280" s="19" t="n"/>
      <c r="C280" s="19" t="n"/>
      <c r="D280" s="19" t="n"/>
      <c r="E280" s="20" t="n"/>
      <c r="F280" s="20" t="n"/>
      <c r="G280" s="19" t="n"/>
      <c r="H280" s="21">
        <f>IF(A280="","",YEAR(A280)*100+MONTH(A280))</f>
        <v/>
      </c>
    </row>
    <row r="281">
      <c r="A281" s="18" t="n"/>
      <c r="B281" s="19" t="n"/>
      <c r="C281" s="19" t="n"/>
      <c r="D281" s="19" t="n"/>
      <c r="E281" s="20" t="n"/>
      <c r="F281" s="20" t="n"/>
      <c r="G281" s="19" t="n"/>
      <c r="H281" s="21">
        <f>IF(A281="","",YEAR(A281)*100+MONTH(A281))</f>
        <v/>
      </c>
    </row>
    <row r="282">
      <c r="A282" s="18" t="n"/>
      <c r="B282" s="19" t="n"/>
      <c r="C282" s="19" t="n"/>
      <c r="D282" s="19" t="n"/>
      <c r="E282" s="20" t="n"/>
      <c r="F282" s="20" t="n"/>
      <c r="G282" s="19" t="n"/>
      <c r="H282" s="21">
        <f>IF(A282="","",YEAR(A282)*100+MONTH(A282))</f>
        <v/>
      </c>
    </row>
    <row r="283">
      <c r="A283" s="18" t="n"/>
      <c r="B283" s="19" t="n"/>
      <c r="C283" s="19" t="n"/>
      <c r="D283" s="19" t="n"/>
      <c r="E283" s="20" t="n"/>
      <c r="F283" s="20" t="n"/>
      <c r="G283" s="19" t="n"/>
      <c r="H283" s="21">
        <f>IF(A283="","",YEAR(A283)*100+MONTH(A283))</f>
        <v/>
      </c>
    </row>
    <row r="284">
      <c r="A284" s="18" t="n"/>
      <c r="B284" s="19" t="n"/>
      <c r="C284" s="19" t="n"/>
      <c r="D284" s="19" t="n"/>
      <c r="E284" s="20" t="n"/>
      <c r="F284" s="20" t="n"/>
      <c r="G284" s="19" t="n"/>
      <c r="H284" s="21">
        <f>IF(A284="","",YEAR(A284)*100+MONTH(A284))</f>
        <v/>
      </c>
    </row>
    <row r="285">
      <c r="A285" s="18" t="n"/>
      <c r="B285" s="19" t="n"/>
      <c r="C285" s="19" t="n"/>
      <c r="D285" s="19" t="n"/>
      <c r="E285" s="20" t="n"/>
      <c r="F285" s="20" t="n"/>
      <c r="G285" s="19" t="n"/>
      <c r="H285" s="21">
        <f>IF(A285="","",YEAR(A285)*100+MONTH(A285))</f>
        <v/>
      </c>
    </row>
    <row r="286">
      <c r="A286" s="18" t="n"/>
      <c r="B286" s="19" t="n"/>
      <c r="C286" s="19" t="n"/>
      <c r="D286" s="19" t="n"/>
      <c r="E286" s="20" t="n"/>
      <c r="F286" s="20" t="n"/>
      <c r="G286" s="19" t="n"/>
      <c r="H286" s="21">
        <f>IF(A286="","",YEAR(A286)*100+MONTH(A286))</f>
        <v/>
      </c>
    </row>
    <row r="287">
      <c r="A287" s="18" t="n"/>
      <c r="B287" s="19" t="n"/>
      <c r="C287" s="19" t="n"/>
      <c r="D287" s="19" t="n"/>
      <c r="E287" s="20" t="n"/>
      <c r="F287" s="20" t="n"/>
      <c r="G287" s="19" t="n"/>
      <c r="H287" s="21">
        <f>IF(A287="","",YEAR(A287)*100+MONTH(A287))</f>
        <v/>
      </c>
    </row>
    <row r="288">
      <c r="A288" s="18" t="n"/>
      <c r="B288" s="19" t="n"/>
      <c r="C288" s="19" t="n"/>
      <c r="D288" s="19" t="n"/>
      <c r="E288" s="20" t="n"/>
      <c r="F288" s="20" t="n"/>
      <c r="G288" s="19" t="n"/>
      <c r="H288" s="21">
        <f>IF(A288="","",YEAR(A288)*100+MONTH(A288))</f>
        <v/>
      </c>
    </row>
    <row r="289">
      <c r="A289" s="18" t="n"/>
      <c r="B289" s="19" t="n"/>
      <c r="C289" s="19" t="n"/>
      <c r="D289" s="19" t="n"/>
      <c r="E289" s="20" t="n"/>
      <c r="F289" s="20" t="n"/>
      <c r="G289" s="19" t="n"/>
      <c r="H289" s="21">
        <f>IF(A289="","",YEAR(A289)*100+MONTH(A289))</f>
        <v/>
      </c>
    </row>
    <row r="290">
      <c r="A290" s="18" t="n"/>
      <c r="B290" s="19" t="n"/>
      <c r="C290" s="19" t="n"/>
      <c r="D290" s="19" t="n"/>
      <c r="E290" s="20" t="n"/>
      <c r="F290" s="20" t="n"/>
      <c r="G290" s="19" t="n"/>
      <c r="H290" s="21">
        <f>IF(A290="","",YEAR(A290)*100+MONTH(A290))</f>
        <v/>
      </c>
    </row>
    <row r="291">
      <c r="A291" s="18" t="n"/>
      <c r="B291" s="19" t="n"/>
      <c r="C291" s="19" t="n"/>
      <c r="D291" s="19" t="n"/>
      <c r="E291" s="20" t="n"/>
      <c r="F291" s="20" t="n"/>
      <c r="G291" s="19" t="n"/>
      <c r="H291" s="21">
        <f>IF(A291="","",YEAR(A291)*100+MONTH(A291))</f>
        <v/>
      </c>
    </row>
    <row r="292">
      <c r="A292" s="18" t="n"/>
      <c r="B292" s="19" t="n"/>
      <c r="C292" s="19" t="n"/>
      <c r="D292" s="19" t="n"/>
      <c r="E292" s="20" t="n"/>
      <c r="F292" s="20" t="n"/>
      <c r="G292" s="19" t="n"/>
      <c r="H292" s="21">
        <f>IF(A292="","",YEAR(A292)*100+MONTH(A292))</f>
        <v/>
      </c>
    </row>
    <row r="293">
      <c r="A293" s="18" t="n"/>
      <c r="B293" s="19" t="n"/>
      <c r="C293" s="19" t="n"/>
      <c r="D293" s="19" t="n"/>
      <c r="E293" s="20" t="n"/>
      <c r="F293" s="20" t="n"/>
      <c r="G293" s="19" t="n"/>
      <c r="H293" s="21">
        <f>IF(A293="","",YEAR(A293)*100+MONTH(A293))</f>
        <v/>
      </c>
    </row>
    <row r="294">
      <c r="A294" s="18" t="n"/>
      <c r="B294" s="19" t="n"/>
      <c r="C294" s="19" t="n"/>
      <c r="D294" s="19" t="n"/>
      <c r="E294" s="20" t="n"/>
      <c r="F294" s="20" t="n"/>
      <c r="G294" s="19" t="n"/>
      <c r="H294" s="21">
        <f>IF(A294="","",YEAR(A294)*100+MONTH(A294))</f>
        <v/>
      </c>
    </row>
    <row r="295">
      <c r="A295" s="18" t="n"/>
      <c r="B295" s="19" t="n"/>
      <c r="C295" s="19" t="n"/>
      <c r="D295" s="19" t="n"/>
      <c r="E295" s="20" t="n"/>
      <c r="F295" s="20" t="n"/>
      <c r="G295" s="19" t="n"/>
      <c r="H295" s="21">
        <f>IF(A295="","",YEAR(A295)*100+MONTH(A295))</f>
        <v/>
      </c>
    </row>
    <row r="296">
      <c r="A296" s="18" t="n"/>
      <c r="B296" s="19" t="n"/>
      <c r="C296" s="19" t="n"/>
      <c r="D296" s="19" t="n"/>
      <c r="E296" s="20" t="n"/>
      <c r="F296" s="20" t="n"/>
      <c r="G296" s="19" t="n"/>
      <c r="H296" s="21">
        <f>IF(A296="","",YEAR(A296)*100+MONTH(A296))</f>
        <v/>
      </c>
    </row>
    <row r="297">
      <c r="A297" s="18" t="n"/>
      <c r="B297" s="19" t="n"/>
      <c r="C297" s="19" t="n"/>
      <c r="D297" s="19" t="n"/>
      <c r="E297" s="20" t="n"/>
      <c r="F297" s="20" t="n"/>
      <c r="G297" s="19" t="n"/>
      <c r="H297" s="21">
        <f>IF(A297="","",YEAR(A297)*100+MONTH(A297))</f>
        <v/>
      </c>
    </row>
    <row r="298">
      <c r="A298" s="18" t="n"/>
      <c r="B298" s="19" t="n"/>
      <c r="C298" s="19" t="n"/>
      <c r="D298" s="19" t="n"/>
      <c r="E298" s="20" t="n"/>
      <c r="F298" s="20" t="n"/>
      <c r="G298" s="19" t="n"/>
      <c r="H298" s="21">
        <f>IF(A298="","",YEAR(A298)*100+MONTH(A298))</f>
        <v/>
      </c>
    </row>
    <row r="299">
      <c r="A299" s="18" t="n"/>
      <c r="B299" s="19" t="n"/>
      <c r="C299" s="19" t="n"/>
      <c r="D299" s="19" t="n"/>
      <c r="E299" s="20" t="n"/>
      <c r="F299" s="20" t="n"/>
      <c r="G299" s="19" t="n"/>
      <c r="H299" s="21">
        <f>IF(A299="","",YEAR(A299)*100+MONTH(A299))</f>
        <v/>
      </c>
    </row>
    <row r="300">
      <c r="A300" s="18" t="n"/>
      <c r="B300" s="19" t="n"/>
      <c r="C300" s="19" t="n"/>
      <c r="D300" s="19" t="n"/>
      <c r="E300" s="20" t="n"/>
      <c r="F300" s="20" t="n"/>
      <c r="G300" s="19" t="n"/>
      <c r="H300" s="21">
        <f>IF(A300="","",YEAR(A300)*100+MONTH(A300))</f>
        <v/>
      </c>
    </row>
    <row r="301">
      <c r="A301" s="18" t="n"/>
      <c r="B301" s="19" t="n"/>
      <c r="C301" s="19" t="n"/>
      <c r="D301" s="19" t="n"/>
      <c r="E301" s="20" t="n"/>
      <c r="F301" s="20" t="n"/>
      <c r="G301" s="19" t="n"/>
      <c r="H301" s="21">
        <f>IF(A301="","",YEAR(A301)*100+MONTH(A301))</f>
        <v/>
      </c>
    </row>
    <row r="302">
      <c r="A302" s="18" t="n"/>
      <c r="B302" s="19" t="n"/>
      <c r="C302" s="19" t="n"/>
      <c r="D302" s="19" t="n"/>
      <c r="E302" s="20" t="n"/>
      <c r="F302" s="20" t="n"/>
      <c r="G302" s="19" t="n"/>
      <c r="H302" s="21">
        <f>IF(A302="","",YEAR(A302)*100+MONTH(A302))</f>
        <v/>
      </c>
    </row>
    <row r="303">
      <c r="A303" s="18" t="n"/>
      <c r="B303" s="19" t="n"/>
      <c r="C303" s="19" t="n"/>
      <c r="D303" s="19" t="n"/>
      <c r="E303" s="20" t="n"/>
      <c r="F303" s="20" t="n"/>
      <c r="G303" s="19" t="n"/>
      <c r="H303" s="21">
        <f>IF(A303="","",YEAR(A303)*100+MONTH(A303))</f>
        <v/>
      </c>
    </row>
    <row r="304">
      <c r="A304" s="18" t="n"/>
      <c r="B304" s="19" t="n"/>
      <c r="C304" s="19" t="n"/>
      <c r="D304" s="19" t="n"/>
      <c r="E304" s="20" t="n"/>
      <c r="F304" s="20" t="n"/>
      <c r="G304" s="19" t="n"/>
      <c r="H304" s="21">
        <f>IF(A304="","",YEAR(A304)*100+MONTH(A304))</f>
        <v/>
      </c>
    </row>
    <row r="305">
      <c r="A305" s="18" t="n"/>
      <c r="B305" s="19" t="n"/>
      <c r="C305" s="19" t="n"/>
      <c r="D305" s="19" t="n"/>
      <c r="E305" s="20" t="n"/>
      <c r="F305" s="20" t="n"/>
      <c r="G305" s="19" t="n"/>
      <c r="H305" s="21">
        <f>IF(A305="","",YEAR(A305)*100+MONTH(A305))</f>
        <v/>
      </c>
    </row>
    <row r="306">
      <c r="A306" s="18" t="n"/>
      <c r="B306" s="19" t="n"/>
      <c r="C306" s="19" t="n"/>
      <c r="D306" s="19" t="n"/>
      <c r="E306" s="20" t="n"/>
      <c r="F306" s="20" t="n"/>
      <c r="G306" s="19" t="n"/>
      <c r="H306" s="21">
        <f>IF(A306="","",YEAR(A306)*100+MONTH(A306))</f>
        <v/>
      </c>
    </row>
    <row r="307">
      <c r="A307" s="18" t="n"/>
      <c r="B307" s="19" t="n"/>
      <c r="C307" s="19" t="n"/>
      <c r="D307" s="19" t="n"/>
      <c r="E307" s="20" t="n"/>
      <c r="F307" s="20" t="n"/>
      <c r="G307" s="19" t="n"/>
      <c r="H307" s="21">
        <f>IF(A307="","",YEAR(A307)*100+MONTH(A307))</f>
        <v/>
      </c>
    </row>
    <row r="308">
      <c r="A308" s="18" t="n"/>
      <c r="B308" s="19" t="n"/>
      <c r="C308" s="19" t="n"/>
      <c r="D308" s="19" t="n"/>
      <c r="E308" s="20" t="n"/>
      <c r="F308" s="20" t="n"/>
      <c r="G308" s="19" t="n"/>
      <c r="H308" s="21">
        <f>IF(A308="","",YEAR(A308)*100+MONTH(A308))</f>
        <v/>
      </c>
    </row>
    <row r="309">
      <c r="A309" s="18" t="n"/>
      <c r="B309" s="19" t="n"/>
      <c r="C309" s="19" t="n"/>
      <c r="D309" s="19" t="n"/>
      <c r="E309" s="20" t="n"/>
      <c r="F309" s="20" t="n"/>
      <c r="G309" s="19" t="n"/>
      <c r="H309" s="21">
        <f>IF(A309="","",YEAR(A309)*100+MONTH(A309))</f>
        <v/>
      </c>
    </row>
    <row r="310">
      <c r="A310" s="18" t="n"/>
      <c r="B310" s="19" t="n"/>
      <c r="C310" s="19" t="n"/>
      <c r="D310" s="19" t="n"/>
      <c r="E310" s="20" t="n"/>
      <c r="F310" s="20" t="n"/>
      <c r="G310" s="19" t="n"/>
      <c r="H310" s="21">
        <f>IF(A310="","",YEAR(A310)*100+MONTH(A310))</f>
        <v/>
      </c>
    </row>
    <row r="311">
      <c r="A311" s="18" t="n"/>
      <c r="B311" s="19" t="n"/>
      <c r="C311" s="19" t="n"/>
      <c r="D311" s="19" t="n"/>
      <c r="E311" s="20" t="n"/>
      <c r="F311" s="20" t="n"/>
      <c r="G311" s="19" t="n"/>
      <c r="H311" s="21">
        <f>IF(A311="","",YEAR(A311)*100+MONTH(A311))</f>
        <v/>
      </c>
    </row>
    <row r="312">
      <c r="A312" s="18" t="n"/>
      <c r="B312" s="19" t="n"/>
      <c r="C312" s="19" t="n"/>
      <c r="D312" s="19" t="n"/>
      <c r="E312" s="20" t="n"/>
      <c r="F312" s="20" t="n"/>
      <c r="G312" s="19" t="n"/>
      <c r="H312" s="21">
        <f>IF(A312="","",YEAR(A312)*100+MONTH(A312))</f>
        <v/>
      </c>
    </row>
    <row r="313">
      <c r="A313" s="18" t="n"/>
      <c r="B313" s="19" t="n"/>
      <c r="C313" s="19" t="n"/>
      <c r="D313" s="19" t="n"/>
      <c r="E313" s="20" t="n"/>
      <c r="F313" s="20" t="n"/>
      <c r="G313" s="19" t="n"/>
      <c r="H313" s="21">
        <f>IF(A313="","",YEAR(A313)*100+MONTH(A313))</f>
        <v/>
      </c>
    </row>
    <row r="314">
      <c r="A314" s="18" t="n"/>
      <c r="B314" s="19" t="n"/>
      <c r="C314" s="19" t="n"/>
      <c r="D314" s="19" t="n"/>
      <c r="E314" s="20" t="n"/>
      <c r="F314" s="20" t="n"/>
      <c r="G314" s="19" t="n"/>
      <c r="H314" s="21">
        <f>IF(A314="","",YEAR(A314)*100+MONTH(A314))</f>
        <v/>
      </c>
    </row>
    <row r="315">
      <c r="A315" s="18" t="n"/>
      <c r="B315" s="19" t="n"/>
      <c r="C315" s="19" t="n"/>
      <c r="D315" s="19" t="n"/>
      <c r="E315" s="20" t="n"/>
      <c r="F315" s="20" t="n"/>
      <c r="G315" s="19" t="n"/>
      <c r="H315" s="21">
        <f>IF(A315="","",YEAR(A315)*100+MONTH(A315))</f>
        <v/>
      </c>
    </row>
    <row r="316">
      <c r="A316" s="18" t="n"/>
      <c r="B316" s="19" t="n"/>
      <c r="C316" s="19" t="n"/>
      <c r="D316" s="19" t="n"/>
      <c r="E316" s="20" t="n"/>
      <c r="F316" s="20" t="n"/>
      <c r="G316" s="19" t="n"/>
      <c r="H316" s="21">
        <f>IF(A316="","",YEAR(A316)*100+MONTH(A316))</f>
        <v/>
      </c>
    </row>
    <row r="317">
      <c r="A317" s="18" t="n"/>
      <c r="B317" s="19" t="n"/>
      <c r="C317" s="19" t="n"/>
      <c r="D317" s="19" t="n"/>
      <c r="E317" s="20" t="n"/>
      <c r="F317" s="20" t="n"/>
      <c r="G317" s="19" t="n"/>
      <c r="H317" s="21">
        <f>IF(A317="","",YEAR(A317)*100+MONTH(A317))</f>
        <v/>
      </c>
    </row>
    <row r="318">
      <c r="A318" s="18" t="n"/>
      <c r="B318" s="19" t="n"/>
      <c r="C318" s="19" t="n"/>
      <c r="D318" s="19" t="n"/>
      <c r="E318" s="20" t="n"/>
      <c r="F318" s="20" t="n"/>
      <c r="G318" s="19" t="n"/>
      <c r="H318" s="21">
        <f>IF(A318="","",YEAR(A318)*100+MONTH(A318))</f>
        <v/>
      </c>
    </row>
    <row r="319">
      <c r="A319" s="18" t="n"/>
      <c r="B319" s="19" t="n"/>
      <c r="C319" s="19" t="n"/>
      <c r="D319" s="19" t="n"/>
      <c r="E319" s="20" t="n"/>
      <c r="F319" s="20" t="n"/>
      <c r="G319" s="19" t="n"/>
      <c r="H319" s="21">
        <f>IF(A319="","",YEAR(A319)*100+MONTH(A319))</f>
        <v/>
      </c>
    </row>
    <row r="320">
      <c r="A320" s="18" t="n"/>
      <c r="B320" s="19" t="n"/>
      <c r="C320" s="19" t="n"/>
      <c r="D320" s="19" t="n"/>
      <c r="E320" s="20" t="n"/>
      <c r="F320" s="20" t="n"/>
      <c r="G320" s="19" t="n"/>
      <c r="H320" s="21">
        <f>IF(A320="","",YEAR(A320)*100+MONTH(A320))</f>
        <v/>
      </c>
    </row>
    <row r="321">
      <c r="A321" s="18" t="n"/>
      <c r="B321" s="19" t="n"/>
      <c r="C321" s="19" t="n"/>
      <c r="D321" s="19" t="n"/>
      <c r="E321" s="20" t="n"/>
      <c r="F321" s="20" t="n"/>
      <c r="G321" s="19" t="n"/>
      <c r="H321" s="21">
        <f>IF(A321="","",YEAR(A321)*100+MONTH(A321))</f>
        <v/>
      </c>
    </row>
    <row r="322">
      <c r="A322" s="18" t="n"/>
      <c r="B322" s="19" t="n"/>
      <c r="C322" s="19" t="n"/>
      <c r="D322" s="19" t="n"/>
      <c r="E322" s="20" t="n"/>
      <c r="F322" s="20" t="n"/>
      <c r="G322" s="19" t="n"/>
      <c r="H322" s="21">
        <f>IF(A322="","",YEAR(A322)*100+MONTH(A322))</f>
        <v/>
      </c>
    </row>
    <row r="323">
      <c r="A323" s="18" t="n"/>
      <c r="B323" s="19" t="n"/>
      <c r="C323" s="19" t="n"/>
      <c r="D323" s="19" t="n"/>
      <c r="E323" s="20" t="n"/>
      <c r="F323" s="20" t="n"/>
      <c r="G323" s="19" t="n"/>
      <c r="H323" s="21">
        <f>IF(A323="","",YEAR(A323)*100+MONTH(A323))</f>
        <v/>
      </c>
    </row>
    <row r="324">
      <c r="A324" s="18" t="n"/>
      <c r="B324" s="19" t="n"/>
      <c r="C324" s="19" t="n"/>
      <c r="D324" s="19" t="n"/>
      <c r="E324" s="20" t="n"/>
      <c r="F324" s="20" t="n"/>
      <c r="G324" s="19" t="n"/>
      <c r="H324" s="21">
        <f>IF(A324="","",YEAR(A324)*100+MONTH(A324))</f>
        <v/>
      </c>
    </row>
    <row r="325">
      <c r="A325" s="18" t="n"/>
      <c r="B325" s="19" t="n"/>
      <c r="C325" s="19" t="n"/>
      <c r="D325" s="19" t="n"/>
      <c r="E325" s="20" t="n"/>
      <c r="F325" s="20" t="n"/>
      <c r="G325" s="19" t="n"/>
      <c r="H325" s="21">
        <f>IF(A325="","",YEAR(A325)*100+MONTH(A325))</f>
        <v/>
      </c>
    </row>
    <row r="326">
      <c r="A326" s="18" t="n"/>
      <c r="B326" s="19" t="n"/>
      <c r="C326" s="19" t="n"/>
      <c r="D326" s="19" t="n"/>
      <c r="E326" s="20" t="n"/>
      <c r="F326" s="20" t="n"/>
      <c r="G326" s="19" t="n"/>
      <c r="H326" s="21">
        <f>IF(A326="","",YEAR(A326)*100+MONTH(A326))</f>
        <v/>
      </c>
    </row>
    <row r="327">
      <c r="A327" s="18" t="n"/>
      <c r="B327" s="19" t="n"/>
      <c r="C327" s="19" t="n"/>
      <c r="D327" s="19" t="n"/>
      <c r="E327" s="20" t="n"/>
      <c r="F327" s="20" t="n"/>
      <c r="G327" s="19" t="n"/>
      <c r="H327" s="21">
        <f>IF(A327="","",YEAR(A327)*100+MONTH(A327))</f>
        <v/>
      </c>
    </row>
    <row r="328">
      <c r="A328" s="18" t="n"/>
      <c r="B328" s="19" t="n"/>
      <c r="C328" s="19" t="n"/>
      <c r="D328" s="19" t="n"/>
      <c r="E328" s="20" t="n"/>
      <c r="F328" s="20" t="n"/>
      <c r="G328" s="19" t="n"/>
      <c r="H328" s="21">
        <f>IF(A328="","",YEAR(A328)*100+MONTH(A328))</f>
        <v/>
      </c>
    </row>
    <row r="329">
      <c r="A329" s="18" t="n"/>
      <c r="B329" s="19" t="n"/>
      <c r="C329" s="19" t="n"/>
      <c r="D329" s="19" t="n"/>
      <c r="E329" s="20" t="n"/>
      <c r="F329" s="20" t="n"/>
      <c r="G329" s="19" t="n"/>
      <c r="H329" s="21">
        <f>IF(A329="","",YEAR(A329)*100+MONTH(A329))</f>
        <v/>
      </c>
    </row>
    <row r="330">
      <c r="A330" s="18" t="n"/>
      <c r="B330" s="19" t="n"/>
      <c r="C330" s="19" t="n"/>
      <c r="D330" s="19" t="n"/>
      <c r="E330" s="20" t="n"/>
      <c r="F330" s="20" t="n"/>
      <c r="G330" s="19" t="n"/>
      <c r="H330" s="21">
        <f>IF(A330="","",YEAR(A330)*100+MONTH(A330))</f>
        <v/>
      </c>
    </row>
    <row r="331">
      <c r="A331" s="18" t="n"/>
      <c r="B331" s="19" t="n"/>
      <c r="C331" s="19" t="n"/>
      <c r="D331" s="19" t="n"/>
      <c r="E331" s="20" t="n"/>
      <c r="F331" s="20" t="n"/>
      <c r="G331" s="19" t="n"/>
      <c r="H331" s="21">
        <f>IF(A331="","",YEAR(A331)*100+MONTH(A331))</f>
        <v/>
      </c>
    </row>
    <row r="332">
      <c r="A332" s="18" t="n"/>
      <c r="B332" s="19" t="n"/>
      <c r="C332" s="19" t="n"/>
      <c r="D332" s="19" t="n"/>
      <c r="E332" s="20" t="n"/>
      <c r="F332" s="20" t="n"/>
      <c r="G332" s="19" t="n"/>
      <c r="H332" s="21">
        <f>IF(A332="","",YEAR(A332)*100+MONTH(A332))</f>
        <v/>
      </c>
    </row>
    <row r="333">
      <c r="A333" s="18" t="n"/>
      <c r="B333" s="19" t="n"/>
      <c r="C333" s="19" t="n"/>
      <c r="D333" s="19" t="n"/>
      <c r="E333" s="20" t="n"/>
      <c r="F333" s="20" t="n"/>
      <c r="G333" s="19" t="n"/>
      <c r="H333" s="21">
        <f>IF(A333="","",YEAR(A333)*100+MONTH(A333))</f>
        <v/>
      </c>
    </row>
    <row r="334">
      <c r="A334" s="18" t="n"/>
      <c r="B334" s="19" t="n"/>
      <c r="C334" s="19" t="n"/>
      <c r="D334" s="19" t="n"/>
      <c r="E334" s="20" t="n"/>
      <c r="F334" s="20" t="n"/>
      <c r="G334" s="19" t="n"/>
      <c r="H334" s="21">
        <f>IF(A334="","",YEAR(A334)*100+MONTH(A334))</f>
        <v/>
      </c>
    </row>
    <row r="335">
      <c r="A335" s="18" t="n"/>
      <c r="B335" s="19" t="n"/>
      <c r="C335" s="19" t="n"/>
      <c r="D335" s="19" t="n"/>
      <c r="E335" s="20" t="n"/>
      <c r="F335" s="20" t="n"/>
      <c r="G335" s="19" t="n"/>
      <c r="H335" s="21">
        <f>IF(A335="","",YEAR(A335)*100+MONTH(A335))</f>
        <v/>
      </c>
    </row>
    <row r="336">
      <c r="A336" s="18" t="n"/>
      <c r="B336" s="19" t="n"/>
      <c r="C336" s="19" t="n"/>
      <c r="D336" s="19" t="n"/>
      <c r="E336" s="20" t="n"/>
      <c r="F336" s="20" t="n"/>
      <c r="G336" s="19" t="n"/>
      <c r="H336" s="21">
        <f>IF(A336="","",YEAR(A336)*100+MONTH(A336))</f>
        <v/>
      </c>
    </row>
    <row r="337">
      <c r="A337" s="18" t="n"/>
      <c r="B337" s="19" t="n"/>
      <c r="C337" s="19" t="n"/>
      <c r="D337" s="19" t="n"/>
      <c r="E337" s="20" t="n"/>
      <c r="F337" s="20" t="n"/>
      <c r="G337" s="19" t="n"/>
      <c r="H337" s="21">
        <f>IF(A337="","",YEAR(A337)*100+MONTH(A337))</f>
        <v/>
      </c>
    </row>
    <row r="338">
      <c r="A338" s="18" t="n"/>
      <c r="B338" s="19" t="n"/>
      <c r="C338" s="19" t="n"/>
      <c r="D338" s="19" t="n"/>
      <c r="E338" s="20" t="n"/>
      <c r="F338" s="20" t="n"/>
      <c r="G338" s="19" t="n"/>
      <c r="H338" s="21">
        <f>IF(A338="","",YEAR(A338)*100+MONTH(A338))</f>
        <v/>
      </c>
    </row>
    <row r="339">
      <c r="A339" s="18" t="n"/>
      <c r="B339" s="19" t="n"/>
      <c r="C339" s="19" t="n"/>
      <c r="D339" s="19" t="n"/>
      <c r="E339" s="20" t="n"/>
      <c r="F339" s="20" t="n"/>
      <c r="G339" s="19" t="n"/>
      <c r="H339" s="21">
        <f>IF(A339="","",YEAR(A339)*100+MONTH(A339))</f>
        <v/>
      </c>
    </row>
    <row r="340">
      <c r="A340" s="18" t="n"/>
      <c r="B340" s="19" t="n"/>
      <c r="C340" s="19" t="n"/>
      <c r="D340" s="19" t="n"/>
      <c r="E340" s="20" t="n"/>
      <c r="F340" s="20" t="n"/>
      <c r="G340" s="19" t="n"/>
      <c r="H340" s="21">
        <f>IF(A340="","",YEAR(A340)*100+MONTH(A340))</f>
        <v/>
      </c>
    </row>
    <row r="341">
      <c r="A341" s="18" t="n"/>
      <c r="B341" s="19" t="n"/>
      <c r="C341" s="19" t="n"/>
      <c r="D341" s="19" t="n"/>
      <c r="E341" s="20" t="n"/>
      <c r="F341" s="20" t="n"/>
      <c r="G341" s="19" t="n"/>
      <c r="H341" s="21">
        <f>IF(A341="","",YEAR(A341)*100+MONTH(A341))</f>
        <v/>
      </c>
    </row>
    <row r="342">
      <c r="A342" s="18" t="n"/>
      <c r="B342" s="19" t="n"/>
      <c r="C342" s="19" t="n"/>
      <c r="D342" s="19" t="n"/>
      <c r="E342" s="20" t="n"/>
      <c r="F342" s="20" t="n"/>
      <c r="G342" s="19" t="n"/>
      <c r="H342" s="21">
        <f>IF(A342="","",YEAR(A342)*100+MONTH(A342))</f>
        <v/>
      </c>
    </row>
    <row r="343">
      <c r="A343" s="18" t="n"/>
      <c r="B343" s="19" t="n"/>
      <c r="C343" s="19" t="n"/>
      <c r="D343" s="19" t="n"/>
      <c r="E343" s="20" t="n"/>
      <c r="F343" s="20" t="n"/>
      <c r="G343" s="19" t="n"/>
      <c r="H343" s="21">
        <f>IF(A343="","",YEAR(A343)*100+MONTH(A343))</f>
        <v/>
      </c>
    </row>
    <row r="344">
      <c r="A344" s="18" t="n"/>
      <c r="B344" s="19" t="n"/>
      <c r="C344" s="19" t="n"/>
      <c r="D344" s="19" t="n"/>
      <c r="E344" s="20" t="n"/>
      <c r="F344" s="20" t="n"/>
      <c r="G344" s="19" t="n"/>
      <c r="H344" s="21">
        <f>IF(A344="","",YEAR(A344)*100+MONTH(A344))</f>
        <v/>
      </c>
    </row>
    <row r="345">
      <c r="A345" s="18" t="n"/>
      <c r="B345" s="19" t="n"/>
      <c r="C345" s="19" t="n"/>
      <c r="D345" s="19" t="n"/>
      <c r="E345" s="20" t="n"/>
      <c r="F345" s="20" t="n"/>
      <c r="G345" s="19" t="n"/>
      <c r="H345" s="21">
        <f>IF(A345="","",YEAR(A345)*100+MONTH(A345))</f>
        <v/>
      </c>
    </row>
    <row r="346">
      <c r="A346" s="18" t="n"/>
      <c r="B346" s="19" t="n"/>
      <c r="C346" s="19" t="n"/>
      <c r="D346" s="19" t="n"/>
      <c r="E346" s="20" t="n"/>
      <c r="F346" s="20" t="n"/>
      <c r="G346" s="19" t="n"/>
      <c r="H346" s="21">
        <f>IF(A346="","",YEAR(A346)*100+MONTH(A346))</f>
        <v/>
      </c>
    </row>
    <row r="347">
      <c r="A347" s="18" t="n"/>
      <c r="B347" s="19" t="n"/>
      <c r="C347" s="19" t="n"/>
      <c r="D347" s="19" t="n"/>
      <c r="E347" s="20" t="n"/>
      <c r="F347" s="20" t="n"/>
      <c r="G347" s="19" t="n"/>
      <c r="H347" s="21">
        <f>IF(A347="","",YEAR(A347)*100+MONTH(A347))</f>
        <v/>
      </c>
    </row>
    <row r="348">
      <c r="A348" s="18" t="n"/>
      <c r="B348" s="19" t="n"/>
      <c r="C348" s="19" t="n"/>
      <c r="D348" s="19" t="n"/>
      <c r="E348" s="20" t="n"/>
      <c r="F348" s="20" t="n"/>
      <c r="G348" s="19" t="n"/>
      <c r="H348" s="21">
        <f>IF(A348="","",YEAR(A348)*100+MONTH(A348))</f>
        <v/>
      </c>
    </row>
    <row r="349">
      <c r="A349" s="18" t="n"/>
      <c r="B349" s="19" t="n"/>
      <c r="C349" s="19" t="n"/>
      <c r="D349" s="19" t="n"/>
      <c r="E349" s="20" t="n"/>
      <c r="F349" s="20" t="n"/>
      <c r="G349" s="19" t="n"/>
      <c r="H349" s="21">
        <f>IF(A349="","",YEAR(A349)*100+MONTH(A349))</f>
        <v/>
      </c>
    </row>
    <row r="350">
      <c r="A350" s="18" t="n"/>
      <c r="B350" s="19" t="n"/>
      <c r="C350" s="19" t="n"/>
      <c r="D350" s="19" t="n"/>
      <c r="E350" s="20" t="n"/>
      <c r="F350" s="20" t="n"/>
      <c r="G350" s="19" t="n"/>
      <c r="H350" s="21">
        <f>IF(A350="","",YEAR(A350)*100+MONTH(A350))</f>
        <v/>
      </c>
    </row>
    <row r="351">
      <c r="A351" s="18" t="n"/>
      <c r="B351" s="19" t="n"/>
      <c r="C351" s="19" t="n"/>
      <c r="D351" s="19" t="n"/>
      <c r="E351" s="20" t="n"/>
      <c r="F351" s="20" t="n"/>
      <c r="G351" s="19" t="n"/>
      <c r="H351" s="21">
        <f>IF(A351="","",YEAR(A351)*100+MONTH(A351))</f>
        <v/>
      </c>
    </row>
    <row r="352">
      <c r="A352" s="18" t="n"/>
      <c r="B352" s="19" t="n"/>
      <c r="C352" s="19" t="n"/>
      <c r="D352" s="19" t="n"/>
      <c r="E352" s="20" t="n"/>
      <c r="F352" s="20" t="n"/>
      <c r="G352" s="19" t="n"/>
      <c r="H352" s="21">
        <f>IF(A352="","",YEAR(A352)*100+MONTH(A352))</f>
        <v/>
      </c>
    </row>
    <row r="353">
      <c r="A353" s="18" t="n"/>
      <c r="B353" s="19" t="n"/>
      <c r="C353" s="19" t="n"/>
      <c r="D353" s="19" t="n"/>
      <c r="E353" s="20" t="n"/>
      <c r="F353" s="20" t="n"/>
      <c r="G353" s="19" t="n"/>
      <c r="H353" s="21">
        <f>IF(A353="","",YEAR(A353)*100+MONTH(A353))</f>
        <v/>
      </c>
    </row>
    <row r="354">
      <c r="A354" s="18" t="n"/>
      <c r="B354" s="19" t="n"/>
      <c r="C354" s="19" t="n"/>
      <c r="D354" s="19" t="n"/>
      <c r="E354" s="20" t="n"/>
      <c r="F354" s="20" t="n"/>
      <c r="G354" s="19" t="n"/>
      <c r="H354" s="21">
        <f>IF(A354="","",YEAR(A354)*100+MONTH(A354))</f>
        <v/>
      </c>
    </row>
    <row r="355">
      <c r="A355" s="18" t="n"/>
      <c r="B355" s="19" t="n"/>
      <c r="C355" s="19" t="n"/>
      <c r="D355" s="19" t="n"/>
      <c r="E355" s="20" t="n"/>
      <c r="F355" s="20" t="n"/>
      <c r="G355" s="19" t="n"/>
      <c r="H355" s="21">
        <f>IF(A355="","",YEAR(A355)*100+MONTH(A355))</f>
        <v/>
      </c>
    </row>
    <row r="356">
      <c r="A356" s="18" t="n"/>
      <c r="B356" s="19" t="n"/>
      <c r="C356" s="19" t="n"/>
      <c r="D356" s="19" t="n"/>
      <c r="E356" s="20" t="n"/>
      <c r="F356" s="20" t="n"/>
      <c r="G356" s="19" t="n"/>
      <c r="H356" s="21">
        <f>IF(A356="","",YEAR(A356)*100+MONTH(A356))</f>
        <v/>
      </c>
    </row>
    <row r="357">
      <c r="A357" s="18" t="n"/>
      <c r="B357" s="19" t="n"/>
      <c r="C357" s="19" t="n"/>
      <c r="D357" s="19" t="n"/>
      <c r="E357" s="20" t="n"/>
      <c r="F357" s="20" t="n"/>
      <c r="G357" s="19" t="n"/>
      <c r="H357" s="21">
        <f>IF(A357="","",YEAR(A357)*100+MONTH(A357))</f>
        <v/>
      </c>
    </row>
    <row r="358">
      <c r="A358" s="18" t="n"/>
      <c r="B358" s="19" t="n"/>
      <c r="C358" s="19" t="n"/>
      <c r="D358" s="19" t="n"/>
      <c r="E358" s="20" t="n"/>
      <c r="F358" s="20" t="n"/>
      <c r="G358" s="19" t="n"/>
      <c r="H358" s="21">
        <f>IF(A358="","",YEAR(A358)*100+MONTH(A358))</f>
        <v/>
      </c>
    </row>
    <row r="359">
      <c r="A359" s="18" t="n"/>
      <c r="B359" s="19" t="n"/>
      <c r="C359" s="19" t="n"/>
      <c r="D359" s="19" t="n"/>
      <c r="E359" s="20" t="n"/>
      <c r="F359" s="20" t="n"/>
      <c r="G359" s="19" t="n"/>
      <c r="H359" s="21">
        <f>IF(A359="","",YEAR(A359)*100+MONTH(A359))</f>
        <v/>
      </c>
    </row>
    <row r="360">
      <c r="A360" s="18" t="n"/>
      <c r="B360" s="19" t="n"/>
      <c r="C360" s="19" t="n"/>
      <c r="D360" s="19" t="n"/>
      <c r="E360" s="20" t="n"/>
      <c r="F360" s="20" t="n"/>
      <c r="G360" s="19" t="n"/>
      <c r="H360" s="21">
        <f>IF(A360="","",YEAR(A360)*100+MONTH(A360))</f>
        <v/>
      </c>
    </row>
    <row r="361">
      <c r="A361" s="18" t="n"/>
      <c r="B361" s="19" t="n"/>
      <c r="C361" s="19" t="n"/>
      <c r="D361" s="19" t="n"/>
      <c r="E361" s="20" t="n"/>
      <c r="F361" s="20" t="n"/>
      <c r="G361" s="19" t="n"/>
      <c r="H361" s="21">
        <f>IF(A361="","",YEAR(A361)*100+MONTH(A361))</f>
        <v/>
      </c>
    </row>
    <row r="362">
      <c r="A362" s="18" t="n"/>
      <c r="B362" s="19" t="n"/>
      <c r="C362" s="19" t="n"/>
      <c r="D362" s="19" t="n"/>
      <c r="E362" s="20" t="n"/>
      <c r="F362" s="20" t="n"/>
      <c r="G362" s="19" t="n"/>
      <c r="H362" s="21">
        <f>IF(A362="","",YEAR(A362)*100+MONTH(A362))</f>
        <v/>
      </c>
    </row>
    <row r="363">
      <c r="A363" s="18" t="n"/>
      <c r="B363" s="19" t="n"/>
      <c r="C363" s="19" t="n"/>
      <c r="D363" s="19" t="n"/>
      <c r="E363" s="20" t="n"/>
      <c r="F363" s="20" t="n"/>
      <c r="G363" s="19" t="n"/>
      <c r="H363" s="21">
        <f>IF(A363="","",YEAR(A363)*100+MONTH(A363))</f>
        <v/>
      </c>
    </row>
    <row r="364">
      <c r="A364" s="18" t="n"/>
      <c r="B364" s="19" t="n"/>
      <c r="C364" s="19" t="n"/>
      <c r="D364" s="19" t="n"/>
      <c r="E364" s="20" t="n"/>
      <c r="F364" s="20" t="n"/>
      <c r="G364" s="19" t="n"/>
      <c r="H364" s="21">
        <f>IF(A364="","",YEAR(A364)*100+MONTH(A364))</f>
        <v/>
      </c>
    </row>
    <row r="365">
      <c r="A365" s="18" t="n"/>
      <c r="B365" s="19" t="n"/>
      <c r="C365" s="19" t="n"/>
      <c r="D365" s="19" t="n"/>
      <c r="E365" s="20" t="n"/>
      <c r="F365" s="20" t="n"/>
      <c r="G365" s="19" t="n"/>
      <c r="H365" s="21">
        <f>IF(A365="","",YEAR(A365)*100+MONTH(A365))</f>
        <v/>
      </c>
    </row>
    <row r="366">
      <c r="A366" s="18" t="n"/>
      <c r="B366" s="19" t="n"/>
      <c r="C366" s="19" t="n"/>
      <c r="D366" s="19" t="n"/>
      <c r="E366" s="20" t="n"/>
      <c r="F366" s="20" t="n"/>
      <c r="G366" s="19" t="n"/>
      <c r="H366" s="21">
        <f>IF(A366="","",YEAR(A366)*100+MONTH(A366))</f>
        <v/>
      </c>
    </row>
    <row r="367">
      <c r="A367" s="18" t="n"/>
      <c r="B367" s="19" t="n"/>
      <c r="C367" s="19" t="n"/>
      <c r="D367" s="19" t="n"/>
      <c r="E367" s="20" t="n"/>
      <c r="F367" s="20" t="n"/>
      <c r="G367" s="19" t="n"/>
      <c r="H367" s="21">
        <f>IF(A367="","",YEAR(A367)*100+MONTH(A367))</f>
        <v/>
      </c>
    </row>
    <row r="368">
      <c r="A368" s="18" t="n"/>
      <c r="B368" s="19" t="n"/>
      <c r="C368" s="19" t="n"/>
      <c r="D368" s="19" t="n"/>
      <c r="E368" s="20" t="n"/>
      <c r="F368" s="20" t="n"/>
      <c r="G368" s="19" t="n"/>
      <c r="H368" s="21">
        <f>IF(A368="","",YEAR(A368)*100+MONTH(A368))</f>
        <v/>
      </c>
    </row>
    <row r="369">
      <c r="A369" s="18" t="n"/>
      <c r="B369" s="19" t="n"/>
      <c r="C369" s="19" t="n"/>
      <c r="D369" s="19" t="n"/>
      <c r="E369" s="20" t="n"/>
      <c r="F369" s="20" t="n"/>
      <c r="G369" s="19" t="n"/>
      <c r="H369" s="21">
        <f>IF(A369="","",YEAR(A369)*100+MONTH(A369))</f>
        <v/>
      </c>
    </row>
    <row r="370">
      <c r="A370" s="18" t="n"/>
      <c r="B370" s="19" t="n"/>
      <c r="C370" s="19" t="n"/>
      <c r="D370" s="19" t="n"/>
      <c r="E370" s="20" t="n"/>
      <c r="F370" s="20" t="n"/>
      <c r="G370" s="19" t="n"/>
      <c r="H370" s="21">
        <f>IF(A370="","",YEAR(A370)*100+MONTH(A370))</f>
        <v/>
      </c>
    </row>
    <row r="371">
      <c r="A371" s="18" t="n"/>
      <c r="B371" s="19" t="n"/>
      <c r="C371" s="19" t="n"/>
      <c r="D371" s="19" t="n"/>
      <c r="E371" s="20" t="n"/>
      <c r="F371" s="20" t="n"/>
      <c r="G371" s="19" t="n"/>
      <c r="H371" s="21">
        <f>IF(A371="","",YEAR(A371)*100+MONTH(A371))</f>
        <v/>
      </c>
    </row>
    <row r="372">
      <c r="A372" s="18" t="n"/>
      <c r="B372" s="19" t="n"/>
      <c r="C372" s="19" t="n"/>
      <c r="D372" s="19" t="n"/>
      <c r="E372" s="20" t="n"/>
      <c r="F372" s="20" t="n"/>
      <c r="G372" s="19" t="n"/>
      <c r="H372" s="21">
        <f>IF(A372="","",YEAR(A372)*100+MONTH(A372))</f>
        <v/>
      </c>
    </row>
    <row r="373">
      <c r="A373" s="18" t="n"/>
      <c r="B373" s="19" t="n"/>
      <c r="C373" s="19" t="n"/>
      <c r="D373" s="19" t="n"/>
      <c r="E373" s="20" t="n"/>
      <c r="F373" s="20" t="n"/>
      <c r="G373" s="19" t="n"/>
      <c r="H373" s="21">
        <f>IF(A373="","",YEAR(A373)*100+MONTH(A373))</f>
        <v/>
      </c>
    </row>
    <row r="374">
      <c r="A374" s="18" t="n"/>
      <c r="B374" s="19" t="n"/>
      <c r="C374" s="19" t="n"/>
      <c r="D374" s="19" t="n"/>
      <c r="E374" s="20" t="n"/>
      <c r="F374" s="20" t="n"/>
      <c r="G374" s="19" t="n"/>
      <c r="H374" s="21">
        <f>IF(A374="","",YEAR(A374)*100+MONTH(A374))</f>
        <v/>
      </c>
    </row>
    <row r="375">
      <c r="A375" s="18" t="n"/>
      <c r="B375" s="19" t="n"/>
      <c r="C375" s="19" t="n"/>
      <c r="D375" s="19" t="n"/>
      <c r="E375" s="20" t="n"/>
      <c r="F375" s="20" t="n"/>
      <c r="G375" s="19" t="n"/>
      <c r="H375" s="21">
        <f>IF(A375="","",YEAR(A375)*100+MONTH(A375))</f>
        <v/>
      </c>
    </row>
    <row r="376">
      <c r="A376" s="18" t="n"/>
      <c r="B376" s="19" t="n"/>
      <c r="C376" s="19" t="n"/>
      <c r="D376" s="19" t="n"/>
      <c r="E376" s="20" t="n"/>
      <c r="F376" s="20" t="n"/>
      <c r="G376" s="19" t="n"/>
      <c r="H376" s="21">
        <f>IF(A376="","",YEAR(A376)*100+MONTH(A376))</f>
        <v/>
      </c>
    </row>
    <row r="377">
      <c r="A377" s="18" t="n"/>
      <c r="B377" s="19" t="n"/>
      <c r="C377" s="19" t="n"/>
      <c r="D377" s="19" t="n"/>
      <c r="E377" s="20" t="n"/>
      <c r="F377" s="20" t="n"/>
      <c r="G377" s="19" t="n"/>
      <c r="H377" s="21">
        <f>IF(A377="","",YEAR(A377)*100+MONTH(A377))</f>
        <v/>
      </c>
    </row>
    <row r="378">
      <c r="A378" s="18" t="n"/>
      <c r="B378" s="19" t="n"/>
      <c r="C378" s="19" t="n"/>
      <c r="D378" s="19" t="n"/>
      <c r="E378" s="20" t="n"/>
      <c r="F378" s="20" t="n"/>
      <c r="G378" s="19" t="n"/>
      <c r="H378" s="21">
        <f>IF(A378="","",YEAR(A378)*100+MONTH(A378))</f>
        <v/>
      </c>
    </row>
    <row r="379">
      <c r="A379" s="18" t="n"/>
      <c r="B379" s="19" t="n"/>
      <c r="C379" s="19" t="n"/>
      <c r="D379" s="19" t="n"/>
      <c r="E379" s="20" t="n"/>
      <c r="F379" s="20" t="n"/>
      <c r="G379" s="19" t="n"/>
      <c r="H379" s="21">
        <f>IF(A379="","",YEAR(A379)*100+MONTH(A379))</f>
        <v/>
      </c>
    </row>
    <row r="380">
      <c r="A380" s="18" t="n"/>
      <c r="B380" s="19" t="n"/>
      <c r="C380" s="19" t="n"/>
      <c r="D380" s="19" t="n"/>
      <c r="E380" s="20" t="n"/>
      <c r="F380" s="20" t="n"/>
      <c r="G380" s="19" t="n"/>
      <c r="H380" s="21">
        <f>IF(A380="","",YEAR(A380)*100+MONTH(A380))</f>
        <v/>
      </c>
    </row>
    <row r="381">
      <c r="A381" s="18" t="n"/>
      <c r="B381" s="19" t="n"/>
      <c r="C381" s="19" t="n"/>
      <c r="D381" s="19" t="n"/>
      <c r="E381" s="20" t="n"/>
      <c r="F381" s="20" t="n"/>
      <c r="G381" s="19" t="n"/>
      <c r="H381" s="21">
        <f>IF(A381="","",YEAR(A381)*100+MONTH(A381))</f>
        <v/>
      </c>
    </row>
    <row r="382">
      <c r="A382" s="18" t="n"/>
      <c r="B382" s="19" t="n"/>
      <c r="C382" s="19" t="n"/>
      <c r="D382" s="19" t="n"/>
      <c r="E382" s="20" t="n"/>
      <c r="F382" s="20" t="n"/>
      <c r="G382" s="19" t="n"/>
      <c r="H382" s="21">
        <f>IF(A382="","",YEAR(A382)*100+MONTH(A382))</f>
        <v/>
      </c>
    </row>
    <row r="383">
      <c r="A383" s="18" t="n"/>
      <c r="B383" s="19" t="n"/>
      <c r="C383" s="19" t="n"/>
      <c r="D383" s="19" t="n"/>
      <c r="E383" s="20" t="n"/>
      <c r="F383" s="20" t="n"/>
      <c r="G383" s="19" t="n"/>
      <c r="H383" s="21">
        <f>IF(A383="","",YEAR(A383)*100+MONTH(A383))</f>
        <v/>
      </c>
    </row>
    <row r="384">
      <c r="A384" s="18" t="n"/>
      <c r="B384" s="19" t="n"/>
      <c r="C384" s="19" t="n"/>
      <c r="D384" s="19" t="n"/>
      <c r="E384" s="20" t="n"/>
      <c r="F384" s="20" t="n"/>
      <c r="G384" s="19" t="n"/>
      <c r="H384" s="21">
        <f>IF(A384="","",YEAR(A384)*100+MONTH(A384))</f>
        <v/>
      </c>
    </row>
    <row r="385">
      <c r="A385" s="18" t="n"/>
      <c r="B385" s="19" t="n"/>
      <c r="C385" s="19" t="n"/>
      <c r="D385" s="19" t="n"/>
      <c r="E385" s="20" t="n"/>
      <c r="F385" s="20" t="n"/>
      <c r="G385" s="19" t="n"/>
      <c r="H385" s="21">
        <f>IF(A385="","",YEAR(A385)*100+MONTH(A385))</f>
        <v/>
      </c>
    </row>
    <row r="386">
      <c r="A386" s="18" t="n"/>
      <c r="B386" s="19" t="n"/>
      <c r="C386" s="19" t="n"/>
      <c r="D386" s="19" t="n"/>
      <c r="E386" s="20" t="n"/>
      <c r="F386" s="20" t="n"/>
      <c r="G386" s="19" t="n"/>
      <c r="H386" s="21">
        <f>IF(A386="","",YEAR(A386)*100+MONTH(A386))</f>
        <v/>
      </c>
    </row>
    <row r="387">
      <c r="A387" s="18" t="n"/>
      <c r="B387" s="19" t="n"/>
      <c r="C387" s="19" t="n"/>
      <c r="D387" s="19" t="n"/>
      <c r="E387" s="20" t="n"/>
      <c r="F387" s="20" t="n"/>
      <c r="G387" s="19" t="n"/>
      <c r="H387" s="21">
        <f>IF(A387="","",YEAR(A387)*100+MONTH(A387))</f>
        <v/>
      </c>
    </row>
    <row r="388">
      <c r="A388" s="18" t="n"/>
      <c r="B388" s="19" t="n"/>
      <c r="C388" s="19" t="n"/>
      <c r="D388" s="19" t="n"/>
      <c r="E388" s="20" t="n"/>
      <c r="F388" s="20" t="n"/>
      <c r="G388" s="19" t="n"/>
      <c r="H388" s="21">
        <f>IF(A388="","",YEAR(A388)*100+MONTH(A388))</f>
        <v/>
      </c>
    </row>
    <row r="389">
      <c r="A389" s="18" t="n"/>
      <c r="B389" s="19" t="n"/>
      <c r="C389" s="19" t="n"/>
      <c r="D389" s="19" t="n"/>
      <c r="E389" s="20" t="n"/>
      <c r="F389" s="20" t="n"/>
      <c r="G389" s="19" t="n"/>
      <c r="H389" s="21">
        <f>IF(A389="","",YEAR(A389)*100+MONTH(A389))</f>
        <v/>
      </c>
    </row>
    <row r="390">
      <c r="A390" s="18" t="n"/>
      <c r="B390" s="19" t="n"/>
      <c r="C390" s="19" t="n"/>
      <c r="D390" s="19" t="n"/>
      <c r="E390" s="20" t="n"/>
      <c r="F390" s="20" t="n"/>
      <c r="G390" s="19" t="n"/>
      <c r="H390" s="21">
        <f>IF(A390="","",YEAR(A390)*100+MONTH(A390))</f>
        <v/>
      </c>
    </row>
    <row r="391">
      <c r="A391" s="18" t="n"/>
      <c r="B391" s="19" t="n"/>
      <c r="C391" s="19" t="n"/>
      <c r="D391" s="19" t="n"/>
      <c r="E391" s="20" t="n"/>
      <c r="F391" s="20" t="n"/>
      <c r="G391" s="19" t="n"/>
      <c r="H391" s="21">
        <f>IF(A391="","",YEAR(A391)*100+MONTH(A391))</f>
        <v/>
      </c>
    </row>
    <row r="392">
      <c r="A392" s="18" t="n"/>
      <c r="B392" s="19" t="n"/>
      <c r="C392" s="19" t="n"/>
      <c r="D392" s="19" t="n"/>
      <c r="E392" s="20" t="n"/>
      <c r="F392" s="20" t="n"/>
      <c r="G392" s="19" t="n"/>
      <c r="H392" s="21">
        <f>IF(A392="","",YEAR(A392)*100+MONTH(A392))</f>
        <v/>
      </c>
    </row>
    <row r="393">
      <c r="A393" s="18" t="n"/>
      <c r="B393" s="19" t="n"/>
      <c r="C393" s="19" t="n"/>
      <c r="D393" s="19" t="n"/>
      <c r="E393" s="20" t="n"/>
      <c r="F393" s="20" t="n"/>
      <c r="G393" s="19" t="n"/>
      <c r="H393" s="21">
        <f>IF(A393="","",YEAR(A393)*100+MONTH(A393))</f>
        <v/>
      </c>
    </row>
    <row r="394">
      <c r="A394" s="18" t="n"/>
      <c r="B394" s="19" t="n"/>
      <c r="C394" s="19" t="n"/>
      <c r="D394" s="19" t="n"/>
      <c r="E394" s="20" t="n"/>
      <c r="F394" s="20" t="n"/>
      <c r="G394" s="19" t="n"/>
      <c r="H394" s="21">
        <f>IF(A394="","",YEAR(A394)*100+MONTH(A394))</f>
        <v/>
      </c>
    </row>
    <row r="395">
      <c r="A395" s="18" t="n"/>
      <c r="B395" s="19" t="n"/>
      <c r="C395" s="19" t="n"/>
      <c r="D395" s="19" t="n"/>
      <c r="E395" s="20" t="n"/>
      <c r="F395" s="20" t="n"/>
      <c r="G395" s="19" t="n"/>
      <c r="H395" s="21">
        <f>IF(A395="","",YEAR(A395)*100+MONTH(A395))</f>
        <v/>
      </c>
    </row>
    <row r="396">
      <c r="A396" s="18" t="n"/>
      <c r="B396" s="19" t="n"/>
      <c r="C396" s="19" t="n"/>
      <c r="D396" s="19" t="n"/>
      <c r="E396" s="20" t="n"/>
      <c r="F396" s="20" t="n"/>
      <c r="G396" s="19" t="n"/>
      <c r="H396" s="21">
        <f>IF(A396="","",YEAR(A396)*100+MONTH(A396))</f>
        <v/>
      </c>
    </row>
    <row r="397">
      <c r="A397" s="18" t="n"/>
      <c r="B397" s="19" t="n"/>
      <c r="C397" s="19" t="n"/>
      <c r="D397" s="19" t="n"/>
      <c r="E397" s="20" t="n"/>
      <c r="F397" s="20" t="n"/>
      <c r="G397" s="19" t="n"/>
      <c r="H397" s="21">
        <f>IF(A397="","",YEAR(A397)*100+MONTH(A397))</f>
        <v/>
      </c>
    </row>
    <row r="398">
      <c r="A398" s="18" t="n"/>
      <c r="B398" s="19" t="n"/>
      <c r="C398" s="19" t="n"/>
      <c r="D398" s="19" t="n"/>
      <c r="E398" s="20" t="n"/>
      <c r="F398" s="20" t="n"/>
      <c r="G398" s="19" t="n"/>
      <c r="H398" s="21">
        <f>IF(A398="","",YEAR(A398)*100+MONTH(A398))</f>
        <v/>
      </c>
    </row>
    <row r="399">
      <c r="A399" s="18" t="n"/>
      <c r="B399" s="19" t="n"/>
      <c r="C399" s="19" t="n"/>
      <c r="D399" s="19" t="n"/>
      <c r="E399" s="20" t="n"/>
      <c r="F399" s="20" t="n"/>
      <c r="G399" s="19" t="n"/>
      <c r="H399" s="21">
        <f>IF(A399="","",YEAR(A399)*100+MONTH(A399))</f>
        <v/>
      </c>
    </row>
    <row r="400">
      <c r="A400" s="18" t="n"/>
      <c r="B400" s="19" t="n"/>
      <c r="C400" s="19" t="n"/>
      <c r="D400" s="19" t="n"/>
      <c r="E400" s="20" t="n"/>
      <c r="F400" s="20" t="n"/>
      <c r="G400" s="19" t="n"/>
      <c r="H400" s="21">
        <f>IF(A400="","",YEAR(A400)*100+MONTH(A400))</f>
        <v/>
      </c>
    </row>
    <row r="401">
      <c r="A401" s="18" t="n"/>
      <c r="B401" s="19" t="n"/>
      <c r="C401" s="19" t="n"/>
      <c r="D401" s="19" t="n"/>
      <c r="E401" s="20" t="n"/>
      <c r="F401" s="20" t="n"/>
      <c r="G401" s="19" t="n"/>
      <c r="H401" s="21">
        <f>IF(A401="","",YEAR(A401)*100+MONTH(A401))</f>
        <v/>
      </c>
    </row>
    <row r="402">
      <c r="A402" s="18" t="n"/>
      <c r="B402" s="19" t="n"/>
      <c r="C402" s="19" t="n"/>
      <c r="D402" s="19" t="n"/>
      <c r="E402" s="20" t="n"/>
      <c r="F402" s="20" t="n"/>
      <c r="G402" s="19" t="n"/>
      <c r="H402" s="21">
        <f>IF(A402="","",YEAR(A402)*100+MONTH(A402))</f>
        <v/>
      </c>
    </row>
    <row r="403">
      <c r="A403" s="18" t="n"/>
      <c r="B403" s="19" t="n"/>
      <c r="C403" s="19" t="n"/>
      <c r="D403" s="19" t="n"/>
      <c r="E403" s="20" t="n"/>
      <c r="F403" s="20" t="n"/>
      <c r="G403" s="19" t="n"/>
      <c r="H403" s="21">
        <f>IF(A403="","",YEAR(A403)*100+MONTH(A403))</f>
        <v/>
      </c>
    </row>
    <row r="404">
      <c r="A404" s="18" t="n"/>
      <c r="B404" s="19" t="n"/>
      <c r="C404" s="19" t="n"/>
      <c r="D404" s="19" t="n"/>
      <c r="E404" s="20" t="n"/>
      <c r="F404" s="20" t="n"/>
      <c r="G404" s="19" t="n"/>
      <c r="H404" s="21">
        <f>IF(A404="","",YEAR(A404)*100+MONTH(A404))</f>
        <v/>
      </c>
    </row>
    <row r="405">
      <c r="A405" s="18" t="n"/>
      <c r="B405" s="19" t="n"/>
      <c r="C405" s="19" t="n"/>
      <c r="D405" s="19" t="n"/>
      <c r="E405" s="20" t="n"/>
      <c r="F405" s="20" t="n"/>
      <c r="G405" s="19" t="n"/>
      <c r="H405" s="21">
        <f>IF(A405="","",YEAR(A405)*100+MONTH(A405))</f>
        <v/>
      </c>
    </row>
    <row r="406">
      <c r="A406" s="18" t="n"/>
      <c r="B406" s="19" t="n"/>
      <c r="C406" s="19" t="n"/>
      <c r="D406" s="19" t="n"/>
      <c r="E406" s="20" t="n"/>
      <c r="F406" s="20" t="n"/>
      <c r="G406" s="19" t="n"/>
      <c r="H406" s="21">
        <f>IF(A406="","",YEAR(A406)*100+MONTH(A406))</f>
        <v/>
      </c>
    </row>
    <row r="407">
      <c r="A407" s="18" t="n"/>
      <c r="B407" s="19" t="n"/>
      <c r="C407" s="19" t="n"/>
      <c r="D407" s="19" t="n"/>
      <c r="E407" s="20" t="n"/>
      <c r="F407" s="20" t="n"/>
      <c r="G407" s="19" t="n"/>
      <c r="H407" s="21">
        <f>IF(A407="","",YEAR(A407)*100+MONTH(A407))</f>
        <v/>
      </c>
    </row>
    <row r="408">
      <c r="A408" s="18" t="n"/>
      <c r="B408" s="19" t="n"/>
      <c r="C408" s="19" t="n"/>
      <c r="D408" s="19" t="n"/>
      <c r="E408" s="20" t="n"/>
      <c r="F408" s="20" t="n"/>
      <c r="G408" s="19" t="n"/>
      <c r="H408" s="21">
        <f>IF(A408="","",YEAR(A408)*100+MONTH(A408))</f>
        <v/>
      </c>
    </row>
    <row r="409">
      <c r="A409" s="18" t="n"/>
      <c r="B409" s="19" t="n"/>
      <c r="C409" s="19" t="n"/>
      <c r="D409" s="19" t="n"/>
      <c r="E409" s="20" t="n"/>
      <c r="F409" s="20" t="n"/>
      <c r="G409" s="19" t="n"/>
      <c r="H409" s="21">
        <f>IF(A409="","",YEAR(A409)*100+MONTH(A409))</f>
        <v/>
      </c>
    </row>
    <row r="410">
      <c r="A410" s="18" t="n"/>
      <c r="B410" s="19" t="n"/>
      <c r="C410" s="19" t="n"/>
      <c r="D410" s="19" t="n"/>
      <c r="E410" s="20" t="n"/>
      <c r="F410" s="20" t="n"/>
      <c r="G410" s="19" t="n"/>
      <c r="H410" s="21">
        <f>IF(A410="","",YEAR(A410)*100+MONTH(A410))</f>
        <v/>
      </c>
    </row>
    <row r="411">
      <c r="A411" s="18" t="n"/>
      <c r="B411" s="19" t="n"/>
      <c r="C411" s="19" t="n"/>
      <c r="D411" s="19" t="n"/>
      <c r="E411" s="20" t="n"/>
      <c r="F411" s="20" t="n"/>
      <c r="G411" s="19" t="n"/>
      <c r="H411" s="21">
        <f>IF(A411="","",YEAR(A411)*100+MONTH(A411))</f>
        <v/>
      </c>
    </row>
    <row r="412">
      <c r="A412" s="18" t="n"/>
      <c r="B412" s="19" t="n"/>
      <c r="C412" s="19" t="n"/>
      <c r="D412" s="19" t="n"/>
      <c r="E412" s="20" t="n"/>
      <c r="F412" s="20" t="n"/>
      <c r="G412" s="19" t="n"/>
      <c r="H412" s="21">
        <f>IF(A412="","",YEAR(A412)*100+MONTH(A412))</f>
        <v/>
      </c>
    </row>
    <row r="413">
      <c r="A413" s="18" t="n"/>
      <c r="B413" s="19" t="n"/>
      <c r="C413" s="19" t="n"/>
      <c r="D413" s="19" t="n"/>
      <c r="E413" s="20" t="n"/>
      <c r="F413" s="20" t="n"/>
      <c r="G413" s="19" t="n"/>
      <c r="H413" s="21">
        <f>IF(A413="","",YEAR(A413)*100+MONTH(A413))</f>
        <v/>
      </c>
    </row>
    <row r="414">
      <c r="A414" s="18" t="n"/>
      <c r="B414" s="19" t="n"/>
      <c r="C414" s="19" t="n"/>
      <c r="D414" s="19" t="n"/>
      <c r="E414" s="20" t="n"/>
      <c r="F414" s="20" t="n"/>
      <c r="G414" s="19" t="n"/>
      <c r="H414" s="21">
        <f>IF(A414="","",YEAR(A414)*100+MONTH(A414))</f>
        <v/>
      </c>
    </row>
    <row r="415">
      <c r="A415" s="18" t="n"/>
      <c r="B415" s="19" t="n"/>
      <c r="C415" s="19" t="n"/>
      <c r="D415" s="19" t="n"/>
      <c r="E415" s="20" t="n"/>
      <c r="F415" s="20" t="n"/>
      <c r="G415" s="19" t="n"/>
      <c r="H415" s="21">
        <f>IF(A415="","",YEAR(A415)*100+MONTH(A415))</f>
        <v/>
      </c>
    </row>
    <row r="416">
      <c r="A416" s="18" t="n"/>
      <c r="B416" s="19" t="n"/>
      <c r="C416" s="19" t="n"/>
      <c r="D416" s="19" t="n"/>
      <c r="E416" s="20" t="n"/>
      <c r="F416" s="20" t="n"/>
      <c r="G416" s="19" t="n"/>
      <c r="H416" s="21">
        <f>IF(A416="","",YEAR(A416)*100+MONTH(A416))</f>
        <v/>
      </c>
    </row>
    <row r="417">
      <c r="A417" s="18" t="n"/>
      <c r="B417" s="19" t="n"/>
      <c r="C417" s="19" t="n"/>
      <c r="D417" s="19" t="n"/>
      <c r="E417" s="20" t="n"/>
      <c r="F417" s="20" t="n"/>
      <c r="G417" s="19" t="n"/>
      <c r="H417" s="21">
        <f>IF(A417="","",YEAR(A417)*100+MONTH(A417))</f>
        <v/>
      </c>
    </row>
    <row r="418">
      <c r="A418" s="18" t="n"/>
      <c r="B418" s="19" t="n"/>
      <c r="C418" s="19" t="n"/>
      <c r="D418" s="19" t="n"/>
      <c r="E418" s="20" t="n"/>
      <c r="F418" s="20" t="n"/>
      <c r="G418" s="19" t="n"/>
      <c r="H418" s="21">
        <f>IF(A418="","",YEAR(A418)*100+MONTH(A418))</f>
        <v/>
      </c>
    </row>
    <row r="419">
      <c r="A419" s="18" t="n"/>
      <c r="B419" s="19" t="n"/>
      <c r="C419" s="19" t="n"/>
      <c r="D419" s="19" t="n"/>
      <c r="E419" s="20" t="n"/>
      <c r="F419" s="20" t="n"/>
      <c r="G419" s="19" t="n"/>
      <c r="H419" s="21">
        <f>IF(A419="","",YEAR(A419)*100+MONTH(A419))</f>
        <v/>
      </c>
    </row>
    <row r="420">
      <c r="A420" s="18" t="n"/>
      <c r="B420" s="19" t="n"/>
      <c r="C420" s="19" t="n"/>
      <c r="D420" s="19" t="n"/>
      <c r="E420" s="20" t="n"/>
      <c r="F420" s="20" t="n"/>
      <c r="G420" s="19" t="n"/>
      <c r="H420" s="21">
        <f>IF(A420="","",YEAR(A420)*100+MONTH(A420))</f>
        <v/>
      </c>
    </row>
    <row r="421">
      <c r="A421" s="18" t="n"/>
      <c r="B421" s="19" t="n"/>
      <c r="C421" s="19" t="n"/>
      <c r="D421" s="19" t="n"/>
      <c r="E421" s="20" t="n"/>
      <c r="F421" s="20" t="n"/>
      <c r="G421" s="19" t="n"/>
      <c r="H421" s="21">
        <f>IF(A421="","",YEAR(A421)*100+MONTH(A421))</f>
        <v/>
      </c>
    </row>
    <row r="422">
      <c r="A422" s="18" t="n"/>
      <c r="B422" s="19" t="n"/>
      <c r="C422" s="19" t="n"/>
      <c r="D422" s="19" t="n"/>
      <c r="E422" s="20" t="n"/>
      <c r="F422" s="20" t="n"/>
      <c r="G422" s="19" t="n"/>
      <c r="H422" s="21">
        <f>IF(A422="","",YEAR(A422)*100+MONTH(A422))</f>
        <v/>
      </c>
    </row>
    <row r="423">
      <c r="A423" s="18" t="n"/>
      <c r="B423" s="19" t="n"/>
      <c r="C423" s="19" t="n"/>
      <c r="D423" s="19" t="n"/>
      <c r="E423" s="20" t="n"/>
      <c r="F423" s="20" t="n"/>
      <c r="G423" s="19" t="n"/>
      <c r="H423" s="21">
        <f>IF(A423="","",YEAR(A423)*100+MONTH(A423))</f>
        <v/>
      </c>
    </row>
    <row r="424">
      <c r="A424" s="18" t="n"/>
      <c r="B424" s="19" t="n"/>
      <c r="C424" s="19" t="n"/>
      <c r="D424" s="19" t="n"/>
      <c r="E424" s="20" t="n"/>
      <c r="F424" s="20" t="n"/>
      <c r="G424" s="19" t="n"/>
      <c r="H424" s="21">
        <f>IF(A424="","",YEAR(A424)*100+MONTH(A424))</f>
        <v/>
      </c>
    </row>
    <row r="425">
      <c r="A425" s="18" t="n"/>
      <c r="B425" s="19" t="n"/>
      <c r="C425" s="19" t="n"/>
      <c r="D425" s="19" t="n"/>
      <c r="E425" s="20" t="n"/>
      <c r="F425" s="20" t="n"/>
      <c r="G425" s="19" t="n"/>
      <c r="H425" s="21">
        <f>IF(A425="","",YEAR(A425)*100+MONTH(A425))</f>
        <v/>
      </c>
    </row>
    <row r="426">
      <c r="A426" s="18" t="n"/>
      <c r="B426" s="19" t="n"/>
      <c r="C426" s="19" t="n"/>
      <c r="D426" s="19" t="n"/>
      <c r="E426" s="20" t="n"/>
      <c r="F426" s="20" t="n"/>
      <c r="G426" s="19" t="n"/>
      <c r="H426" s="21">
        <f>IF(A426="","",YEAR(A426)*100+MONTH(A426))</f>
        <v/>
      </c>
    </row>
    <row r="427">
      <c r="A427" s="18" t="n"/>
      <c r="B427" s="19" t="n"/>
      <c r="C427" s="19" t="n"/>
      <c r="D427" s="19" t="n"/>
      <c r="E427" s="20" t="n"/>
      <c r="F427" s="20" t="n"/>
      <c r="G427" s="19" t="n"/>
      <c r="H427" s="21">
        <f>IF(A427="","",YEAR(A427)*100+MONTH(A427))</f>
        <v/>
      </c>
    </row>
    <row r="428">
      <c r="A428" s="18" t="n"/>
      <c r="B428" s="19" t="n"/>
      <c r="C428" s="19" t="n"/>
      <c r="D428" s="19" t="n"/>
      <c r="E428" s="20" t="n"/>
      <c r="F428" s="20" t="n"/>
      <c r="G428" s="19" t="n"/>
      <c r="H428" s="21">
        <f>IF(A428="","",YEAR(A428)*100+MONTH(A428))</f>
        <v/>
      </c>
    </row>
    <row r="429">
      <c r="A429" s="18" t="n"/>
      <c r="B429" s="19" t="n"/>
      <c r="C429" s="19" t="n"/>
      <c r="D429" s="19" t="n"/>
      <c r="E429" s="20" t="n"/>
      <c r="F429" s="20" t="n"/>
      <c r="G429" s="19" t="n"/>
      <c r="H429" s="21">
        <f>IF(A429="","",YEAR(A429)*100+MONTH(A429))</f>
        <v/>
      </c>
    </row>
    <row r="430">
      <c r="A430" s="18" t="n"/>
      <c r="B430" s="19" t="n"/>
      <c r="C430" s="19" t="n"/>
      <c r="D430" s="19" t="n"/>
      <c r="E430" s="20" t="n"/>
      <c r="F430" s="20" t="n"/>
      <c r="G430" s="19" t="n"/>
      <c r="H430" s="21">
        <f>IF(A430="","",YEAR(A430)*100+MONTH(A430))</f>
        <v/>
      </c>
    </row>
    <row r="431">
      <c r="A431" s="18" t="n"/>
      <c r="B431" s="19" t="n"/>
      <c r="C431" s="19" t="n"/>
      <c r="D431" s="19" t="n"/>
      <c r="E431" s="20" t="n"/>
      <c r="F431" s="20" t="n"/>
      <c r="G431" s="19" t="n"/>
      <c r="H431" s="21">
        <f>IF(A431="","",YEAR(A431)*100+MONTH(A431))</f>
        <v/>
      </c>
    </row>
    <row r="432">
      <c r="A432" s="18" t="n"/>
      <c r="B432" s="19" t="n"/>
      <c r="C432" s="19" t="n"/>
      <c r="D432" s="19" t="n"/>
      <c r="E432" s="20" t="n"/>
      <c r="F432" s="20" t="n"/>
      <c r="G432" s="19" t="n"/>
      <c r="H432" s="21">
        <f>IF(A432="","",YEAR(A432)*100+MONTH(A432))</f>
        <v/>
      </c>
    </row>
    <row r="433">
      <c r="A433" s="18" t="n"/>
      <c r="B433" s="19" t="n"/>
      <c r="C433" s="19" t="n"/>
      <c r="D433" s="19" t="n"/>
      <c r="E433" s="20" t="n"/>
      <c r="F433" s="20" t="n"/>
      <c r="G433" s="19" t="n"/>
      <c r="H433" s="21">
        <f>IF(A433="","",YEAR(A433)*100+MONTH(A433))</f>
        <v/>
      </c>
    </row>
    <row r="434">
      <c r="A434" s="18" t="n"/>
      <c r="B434" s="19" t="n"/>
      <c r="C434" s="19" t="n"/>
      <c r="D434" s="19" t="n"/>
      <c r="E434" s="20" t="n"/>
      <c r="F434" s="20" t="n"/>
      <c r="G434" s="19" t="n"/>
      <c r="H434" s="21">
        <f>IF(A434="","",YEAR(A434)*100+MONTH(A434))</f>
        <v/>
      </c>
    </row>
    <row r="435">
      <c r="A435" s="18" t="n"/>
      <c r="B435" s="19" t="n"/>
      <c r="C435" s="19" t="n"/>
      <c r="D435" s="19" t="n"/>
      <c r="E435" s="20" t="n"/>
      <c r="F435" s="20" t="n"/>
      <c r="G435" s="19" t="n"/>
      <c r="H435" s="21">
        <f>IF(A435="","",YEAR(A435)*100+MONTH(A435))</f>
        <v/>
      </c>
    </row>
    <row r="436">
      <c r="A436" s="18" t="n"/>
      <c r="B436" s="19" t="n"/>
      <c r="C436" s="19" t="n"/>
      <c r="D436" s="19" t="n"/>
      <c r="E436" s="20" t="n"/>
      <c r="F436" s="20" t="n"/>
      <c r="G436" s="19" t="n"/>
      <c r="H436" s="21">
        <f>IF(A436="","",YEAR(A436)*100+MONTH(A436))</f>
        <v/>
      </c>
    </row>
    <row r="437">
      <c r="A437" s="18" t="n"/>
      <c r="B437" s="19" t="n"/>
      <c r="C437" s="19" t="n"/>
      <c r="D437" s="19" t="n"/>
      <c r="E437" s="20" t="n"/>
      <c r="F437" s="20" t="n"/>
      <c r="G437" s="19" t="n"/>
      <c r="H437" s="21">
        <f>IF(A437="","",YEAR(A437)*100+MONTH(A437))</f>
        <v/>
      </c>
    </row>
    <row r="438">
      <c r="A438" s="18" t="n"/>
      <c r="B438" s="19" t="n"/>
      <c r="C438" s="19" t="n"/>
      <c r="D438" s="19" t="n"/>
      <c r="E438" s="20" t="n"/>
      <c r="F438" s="20" t="n"/>
      <c r="G438" s="19" t="n"/>
      <c r="H438" s="21">
        <f>IF(A438="","",YEAR(A438)*100+MONTH(A438))</f>
        <v/>
      </c>
    </row>
    <row r="439">
      <c r="A439" s="18" t="n"/>
      <c r="B439" s="19" t="n"/>
      <c r="C439" s="19" t="n"/>
      <c r="D439" s="19" t="n"/>
      <c r="E439" s="20" t="n"/>
      <c r="F439" s="20" t="n"/>
      <c r="G439" s="19" t="n"/>
      <c r="H439" s="21">
        <f>IF(A439="","",YEAR(A439)*100+MONTH(A439))</f>
        <v/>
      </c>
    </row>
    <row r="440">
      <c r="A440" s="18" t="n"/>
      <c r="B440" s="19" t="n"/>
      <c r="C440" s="19" t="n"/>
      <c r="D440" s="19" t="n"/>
      <c r="E440" s="20" t="n"/>
      <c r="F440" s="20" t="n"/>
      <c r="G440" s="19" t="n"/>
      <c r="H440" s="21">
        <f>IF(A440="","",YEAR(A440)*100+MONTH(A440))</f>
        <v/>
      </c>
    </row>
    <row r="441">
      <c r="A441" s="18" t="n"/>
      <c r="B441" s="19" t="n"/>
      <c r="C441" s="19" t="n"/>
      <c r="D441" s="19" t="n"/>
      <c r="E441" s="20" t="n"/>
      <c r="F441" s="20" t="n"/>
      <c r="G441" s="19" t="n"/>
      <c r="H441" s="21">
        <f>IF(A441="","",YEAR(A441)*100+MONTH(A441))</f>
        <v/>
      </c>
    </row>
    <row r="442">
      <c r="A442" s="18" t="n"/>
      <c r="B442" s="19" t="n"/>
      <c r="C442" s="19" t="n"/>
      <c r="D442" s="19" t="n"/>
      <c r="E442" s="20" t="n"/>
      <c r="F442" s="20" t="n"/>
      <c r="G442" s="19" t="n"/>
      <c r="H442" s="21">
        <f>IF(A442="","",YEAR(A442)*100+MONTH(A442))</f>
        <v/>
      </c>
    </row>
    <row r="443">
      <c r="A443" s="18" t="n"/>
      <c r="B443" s="19" t="n"/>
      <c r="C443" s="19" t="n"/>
      <c r="D443" s="19" t="n"/>
      <c r="E443" s="20" t="n"/>
      <c r="F443" s="20" t="n"/>
      <c r="G443" s="19" t="n"/>
      <c r="H443" s="21">
        <f>IF(A443="","",YEAR(A443)*100+MONTH(A443))</f>
        <v/>
      </c>
    </row>
    <row r="444">
      <c r="A444" s="18" t="n"/>
      <c r="B444" s="19" t="n"/>
      <c r="C444" s="19" t="n"/>
      <c r="D444" s="19" t="n"/>
      <c r="E444" s="20" t="n"/>
      <c r="F444" s="20" t="n"/>
      <c r="G444" s="19" t="n"/>
      <c r="H444" s="21">
        <f>IF(A444="","",YEAR(A444)*100+MONTH(A444))</f>
        <v/>
      </c>
    </row>
    <row r="445">
      <c r="A445" s="18" t="n"/>
      <c r="B445" s="19" t="n"/>
      <c r="C445" s="19" t="n"/>
      <c r="D445" s="19" t="n"/>
      <c r="E445" s="20" t="n"/>
      <c r="F445" s="20" t="n"/>
      <c r="G445" s="19" t="n"/>
      <c r="H445" s="21">
        <f>IF(A445="","",YEAR(A445)*100+MONTH(A445))</f>
        <v/>
      </c>
    </row>
    <row r="446">
      <c r="A446" s="18" t="n"/>
      <c r="B446" s="19" t="n"/>
      <c r="C446" s="19" t="n"/>
      <c r="D446" s="19" t="n"/>
      <c r="E446" s="20" t="n"/>
      <c r="F446" s="20" t="n"/>
      <c r="G446" s="19" t="n"/>
      <c r="H446" s="21">
        <f>IF(A446="","",YEAR(A446)*100+MONTH(A446))</f>
        <v/>
      </c>
    </row>
    <row r="447">
      <c r="A447" s="18" t="n"/>
      <c r="B447" s="19" t="n"/>
      <c r="C447" s="19" t="n"/>
      <c r="D447" s="19" t="n"/>
      <c r="E447" s="20" t="n"/>
      <c r="F447" s="20" t="n"/>
      <c r="G447" s="19" t="n"/>
      <c r="H447" s="21">
        <f>IF(A447="","",YEAR(A447)*100+MONTH(A447))</f>
        <v/>
      </c>
    </row>
    <row r="448">
      <c r="A448" s="18" t="n"/>
      <c r="B448" s="19" t="n"/>
      <c r="C448" s="19" t="n"/>
      <c r="D448" s="19" t="n"/>
      <c r="E448" s="20" t="n"/>
      <c r="F448" s="20" t="n"/>
      <c r="G448" s="19" t="n"/>
      <c r="H448" s="21">
        <f>IF(A448="","",YEAR(A448)*100+MONTH(A448))</f>
        <v/>
      </c>
    </row>
    <row r="449">
      <c r="A449" s="18" t="n"/>
      <c r="B449" s="19" t="n"/>
      <c r="C449" s="19" t="n"/>
      <c r="D449" s="19" t="n"/>
      <c r="E449" s="20" t="n"/>
      <c r="F449" s="20" t="n"/>
      <c r="G449" s="19" t="n"/>
      <c r="H449" s="21">
        <f>IF(A449="","",YEAR(A449)*100+MONTH(A449))</f>
        <v/>
      </c>
    </row>
    <row r="450">
      <c r="A450" s="18" t="n"/>
      <c r="B450" s="19" t="n"/>
      <c r="C450" s="19" t="n"/>
      <c r="D450" s="19" t="n"/>
      <c r="E450" s="20" t="n"/>
      <c r="F450" s="20" t="n"/>
      <c r="G450" s="19" t="n"/>
      <c r="H450" s="21">
        <f>IF(A450="","",YEAR(A450)*100+MONTH(A450))</f>
        <v/>
      </c>
    </row>
    <row r="451">
      <c r="A451" s="18" t="n"/>
      <c r="B451" s="19" t="n"/>
      <c r="C451" s="19" t="n"/>
      <c r="D451" s="19" t="n"/>
      <c r="E451" s="20" t="n"/>
      <c r="F451" s="20" t="n"/>
      <c r="G451" s="19" t="n"/>
      <c r="H451" s="21">
        <f>IF(A451="","",YEAR(A451)*100+MONTH(A451))</f>
        <v/>
      </c>
    </row>
    <row r="452">
      <c r="A452" s="18" t="n"/>
      <c r="B452" s="19" t="n"/>
      <c r="C452" s="19" t="n"/>
      <c r="D452" s="19" t="n"/>
      <c r="E452" s="20" t="n"/>
      <c r="F452" s="20" t="n"/>
      <c r="G452" s="19" t="n"/>
      <c r="H452" s="21">
        <f>IF(A452="","",YEAR(A452)*100+MONTH(A452))</f>
        <v/>
      </c>
    </row>
    <row r="453">
      <c r="A453" s="18" t="n"/>
      <c r="B453" s="19" t="n"/>
      <c r="C453" s="19" t="n"/>
      <c r="D453" s="19" t="n"/>
      <c r="E453" s="20" t="n"/>
      <c r="F453" s="20" t="n"/>
      <c r="G453" s="19" t="n"/>
      <c r="H453" s="21">
        <f>IF(A453="","",YEAR(A453)*100+MONTH(A453))</f>
        <v/>
      </c>
    </row>
    <row r="454">
      <c r="A454" s="18" t="n"/>
      <c r="B454" s="19" t="n"/>
      <c r="C454" s="19" t="n"/>
      <c r="D454" s="19" t="n"/>
      <c r="E454" s="20" t="n"/>
      <c r="F454" s="20" t="n"/>
      <c r="G454" s="19" t="n"/>
      <c r="H454" s="21">
        <f>IF(A454="","",YEAR(A454)*100+MONTH(A454))</f>
        <v/>
      </c>
    </row>
    <row r="455">
      <c r="A455" s="18" t="n"/>
      <c r="B455" s="19" t="n"/>
      <c r="C455" s="19" t="n"/>
      <c r="D455" s="19" t="n"/>
      <c r="E455" s="20" t="n"/>
      <c r="F455" s="20" t="n"/>
      <c r="G455" s="19" t="n"/>
      <c r="H455" s="21">
        <f>IF(A455="","",YEAR(A455)*100+MONTH(A455))</f>
        <v/>
      </c>
    </row>
    <row r="456">
      <c r="A456" s="18" t="n"/>
      <c r="B456" s="19" t="n"/>
      <c r="C456" s="19" t="n"/>
      <c r="D456" s="19" t="n"/>
      <c r="E456" s="20" t="n"/>
      <c r="F456" s="20" t="n"/>
      <c r="G456" s="19" t="n"/>
      <c r="H456" s="21">
        <f>IF(A456="","",YEAR(A456)*100+MONTH(A456))</f>
        <v/>
      </c>
    </row>
    <row r="457">
      <c r="A457" s="18" t="n"/>
      <c r="B457" s="19" t="n"/>
      <c r="C457" s="19" t="n"/>
      <c r="D457" s="19" t="n"/>
      <c r="E457" s="20" t="n"/>
      <c r="F457" s="20" t="n"/>
      <c r="G457" s="19" t="n"/>
      <c r="H457" s="21">
        <f>IF(A457="","",YEAR(A457)*100+MONTH(A457))</f>
        <v/>
      </c>
    </row>
    <row r="458">
      <c r="A458" s="18" t="n"/>
      <c r="B458" s="19" t="n"/>
      <c r="C458" s="19" t="n"/>
      <c r="D458" s="19" t="n"/>
      <c r="E458" s="20" t="n"/>
      <c r="F458" s="20" t="n"/>
      <c r="G458" s="19" t="n"/>
      <c r="H458" s="21">
        <f>IF(A458="","",YEAR(A458)*100+MONTH(A458))</f>
        <v/>
      </c>
    </row>
    <row r="459">
      <c r="A459" s="18" t="n"/>
      <c r="B459" s="19" t="n"/>
      <c r="C459" s="19" t="n"/>
      <c r="D459" s="19" t="n"/>
      <c r="E459" s="20" t="n"/>
      <c r="F459" s="20" t="n"/>
      <c r="G459" s="19" t="n"/>
      <c r="H459" s="21">
        <f>IF(A459="","",YEAR(A459)*100+MONTH(A459))</f>
        <v/>
      </c>
    </row>
    <row r="460">
      <c r="A460" s="18" t="n"/>
      <c r="B460" s="19" t="n"/>
      <c r="C460" s="19" t="n"/>
      <c r="D460" s="19" t="n"/>
      <c r="E460" s="20" t="n"/>
      <c r="F460" s="20" t="n"/>
      <c r="G460" s="19" t="n"/>
      <c r="H460" s="21">
        <f>IF(A460="","",YEAR(A460)*100+MONTH(A460))</f>
        <v/>
      </c>
    </row>
    <row r="461">
      <c r="A461" s="18" t="n"/>
      <c r="B461" s="19" t="n"/>
      <c r="C461" s="19" t="n"/>
      <c r="D461" s="19" t="n"/>
      <c r="E461" s="20" t="n"/>
      <c r="F461" s="20" t="n"/>
      <c r="G461" s="19" t="n"/>
      <c r="H461" s="21">
        <f>IF(A461="","",YEAR(A461)*100+MONTH(A461))</f>
        <v/>
      </c>
    </row>
    <row r="462">
      <c r="A462" s="18" t="n"/>
      <c r="B462" s="19" t="n"/>
      <c r="C462" s="19" t="n"/>
      <c r="D462" s="19" t="n"/>
      <c r="E462" s="20" t="n"/>
      <c r="F462" s="20" t="n"/>
      <c r="G462" s="19" t="n"/>
      <c r="H462" s="21">
        <f>IF(A462="","",YEAR(A462)*100+MONTH(A462))</f>
        <v/>
      </c>
    </row>
    <row r="463">
      <c r="A463" s="18" t="n"/>
      <c r="B463" s="19" t="n"/>
      <c r="C463" s="19" t="n"/>
      <c r="D463" s="19" t="n"/>
      <c r="E463" s="20" t="n"/>
      <c r="F463" s="20" t="n"/>
      <c r="G463" s="19" t="n"/>
      <c r="H463" s="21">
        <f>IF(A463="","",YEAR(A463)*100+MONTH(A463))</f>
        <v/>
      </c>
    </row>
    <row r="464">
      <c r="A464" s="18" t="n"/>
      <c r="B464" s="19" t="n"/>
      <c r="C464" s="19" t="n"/>
      <c r="D464" s="19" t="n"/>
      <c r="E464" s="20" t="n"/>
      <c r="F464" s="20" t="n"/>
      <c r="G464" s="19" t="n"/>
      <c r="H464" s="21">
        <f>IF(A464="","",YEAR(A464)*100+MONTH(A464))</f>
        <v/>
      </c>
    </row>
    <row r="465">
      <c r="A465" s="18" t="n"/>
      <c r="B465" s="19" t="n"/>
      <c r="C465" s="19" t="n"/>
      <c r="D465" s="19" t="n"/>
      <c r="E465" s="20" t="n"/>
      <c r="F465" s="20" t="n"/>
      <c r="G465" s="19" t="n"/>
      <c r="H465" s="21">
        <f>IF(A465="","",YEAR(A465)*100+MONTH(A465))</f>
        <v/>
      </c>
    </row>
    <row r="466">
      <c r="A466" s="18" t="n"/>
      <c r="B466" s="19" t="n"/>
      <c r="C466" s="19" t="n"/>
      <c r="D466" s="19" t="n"/>
      <c r="E466" s="20" t="n"/>
      <c r="F466" s="20" t="n"/>
      <c r="G466" s="19" t="n"/>
      <c r="H466" s="21">
        <f>IF(A466="","",YEAR(A466)*100+MONTH(A466))</f>
        <v/>
      </c>
    </row>
    <row r="467">
      <c r="A467" s="18" t="n"/>
      <c r="B467" s="19" t="n"/>
      <c r="C467" s="19" t="n"/>
      <c r="D467" s="19" t="n"/>
      <c r="E467" s="20" t="n"/>
      <c r="F467" s="20" t="n"/>
      <c r="G467" s="19" t="n"/>
      <c r="H467" s="21">
        <f>IF(A467="","",YEAR(A467)*100+MONTH(A467))</f>
        <v/>
      </c>
    </row>
    <row r="468">
      <c r="A468" s="18" t="n"/>
      <c r="B468" s="19" t="n"/>
      <c r="C468" s="19" t="n"/>
      <c r="D468" s="19" t="n"/>
      <c r="E468" s="20" t="n"/>
      <c r="F468" s="20" t="n"/>
      <c r="G468" s="19" t="n"/>
      <c r="H468" s="21">
        <f>IF(A468="","",YEAR(A468)*100+MONTH(A468))</f>
        <v/>
      </c>
    </row>
    <row r="469">
      <c r="A469" s="18" t="n"/>
      <c r="B469" s="19" t="n"/>
      <c r="C469" s="19" t="n"/>
      <c r="D469" s="19" t="n"/>
      <c r="E469" s="20" t="n"/>
      <c r="F469" s="20" t="n"/>
      <c r="G469" s="19" t="n"/>
      <c r="H469" s="21">
        <f>IF(A469="","",YEAR(A469)*100+MONTH(A469))</f>
        <v/>
      </c>
    </row>
    <row r="470">
      <c r="A470" s="18" t="n"/>
      <c r="B470" s="19" t="n"/>
      <c r="C470" s="19" t="n"/>
      <c r="D470" s="19" t="n"/>
      <c r="E470" s="20" t="n"/>
      <c r="F470" s="20" t="n"/>
      <c r="G470" s="19" t="n"/>
      <c r="H470" s="21">
        <f>IF(A470="","",YEAR(A470)*100+MONTH(A470))</f>
        <v/>
      </c>
    </row>
    <row r="471">
      <c r="A471" s="18" t="n"/>
      <c r="B471" s="19" t="n"/>
      <c r="C471" s="19" t="n"/>
      <c r="D471" s="19" t="n"/>
      <c r="E471" s="20" t="n"/>
      <c r="F471" s="20" t="n"/>
      <c r="G471" s="19" t="n"/>
      <c r="H471" s="21">
        <f>IF(A471="","",YEAR(A471)*100+MONTH(A471))</f>
        <v/>
      </c>
    </row>
    <row r="472">
      <c r="A472" s="18" t="n"/>
      <c r="B472" s="19" t="n"/>
      <c r="C472" s="19" t="n"/>
      <c r="D472" s="19" t="n"/>
      <c r="E472" s="20" t="n"/>
      <c r="F472" s="20" t="n"/>
      <c r="G472" s="19" t="n"/>
      <c r="H472" s="21">
        <f>IF(A472="","",YEAR(A472)*100+MONTH(A472))</f>
        <v/>
      </c>
    </row>
    <row r="473">
      <c r="A473" s="18" t="n"/>
      <c r="B473" s="19" t="n"/>
      <c r="C473" s="19" t="n"/>
      <c r="D473" s="19" t="n"/>
      <c r="E473" s="20" t="n"/>
      <c r="F473" s="20" t="n"/>
      <c r="G473" s="19" t="n"/>
      <c r="H473" s="21">
        <f>IF(A473="","",YEAR(A473)*100+MONTH(A473))</f>
        <v/>
      </c>
    </row>
    <row r="474">
      <c r="A474" s="18" t="n"/>
      <c r="B474" s="19" t="n"/>
      <c r="C474" s="19" t="n"/>
      <c r="D474" s="19" t="n"/>
      <c r="E474" s="20" t="n"/>
      <c r="F474" s="20" t="n"/>
      <c r="G474" s="19" t="n"/>
      <c r="H474" s="21">
        <f>IF(A474="","",YEAR(A474)*100+MONTH(A474))</f>
        <v/>
      </c>
    </row>
    <row r="475">
      <c r="A475" s="18" t="n"/>
      <c r="B475" s="19" t="n"/>
      <c r="C475" s="19" t="n"/>
      <c r="D475" s="19" t="n"/>
      <c r="E475" s="20" t="n"/>
      <c r="F475" s="20" t="n"/>
      <c r="G475" s="19" t="n"/>
      <c r="H475" s="21">
        <f>IF(A475="","",YEAR(A475)*100+MONTH(A475))</f>
        <v/>
      </c>
    </row>
    <row r="476">
      <c r="A476" s="18" t="n"/>
      <c r="B476" s="19" t="n"/>
      <c r="C476" s="19" t="n"/>
      <c r="D476" s="19" t="n"/>
      <c r="E476" s="20" t="n"/>
      <c r="F476" s="20" t="n"/>
      <c r="G476" s="19" t="n"/>
      <c r="H476" s="21">
        <f>IF(A476="","",YEAR(A476)*100+MONTH(A476))</f>
        <v/>
      </c>
    </row>
    <row r="477">
      <c r="A477" s="18" t="n"/>
      <c r="B477" s="19" t="n"/>
      <c r="C477" s="19" t="n"/>
      <c r="D477" s="19" t="n"/>
      <c r="E477" s="20" t="n"/>
      <c r="F477" s="20" t="n"/>
      <c r="G477" s="19" t="n"/>
      <c r="H477" s="21">
        <f>IF(A477="","",YEAR(A477)*100+MONTH(A477))</f>
        <v/>
      </c>
    </row>
    <row r="478">
      <c r="A478" s="18" t="n"/>
      <c r="B478" s="19" t="n"/>
      <c r="C478" s="19" t="n"/>
      <c r="D478" s="19" t="n"/>
      <c r="E478" s="20" t="n"/>
      <c r="F478" s="20" t="n"/>
      <c r="G478" s="19" t="n"/>
      <c r="H478" s="21">
        <f>IF(A478="","",YEAR(A478)*100+MONTH(A478))</f>
        <v/>
      </c>
    </row>
    <row r="479">
      <c r="A479" s="18" t="n"/>
      <c r="B479" s="19" t="n"/>
      <c r="C479" s="19" t="n"/>
      <c r="D479" s="19" t="n"/>
      <c r="E479" s="20" t="n"/>
      <c r="F479" s="20" t="n"/>
      <c r="G479" s="19" t="n"/>
      <c r="H479" s="21">
        <f>IF(A479="","",YEAR(A479)*100+MONTH(A479))</f>
        <v/>
      </c>
    </row>
    <row r="480">
      <c r="A480" s="18" t="n"/>
      <c r="B480" s="19" t="n"/>
      <c r="C480" s="19" t="n"/>
      <c r="D480" s="19" t="n"/>
      <c r="E480" s="20" t="n"/>
      <c r="F480" s="20" t="n"/>
      <c r="G480" s="19" t="n"/>
      <c r="H480" s="21">
        <f>IF(A480="","",YEAR(A480)*100+MONTH(A480))</f>
        <v/>
      </c>
    </row>
    <row r="481">
      <c r="A481" s="18" t="n"/>
      <c r="B481" s="19" t="n"/>
      <c r="C481" s="19" t="n"/>
      <c r="D481" s="19" t="n"/>
      <c r="E481" s="20" t="n"/>
      <c r="F481" s="20" t="n"/>
      <c r="G481" s="19" t="n"/>
      <c r="H481" s="21">
        <f>IF(A481="","",YEAR(A481)*100+MONTH(A481))</f>
        <v/>
      </c>
    </row>
    <row r="482">
      <c r="A482" s="18" t="n"/>
      <c r="B482" s="19" t="n"/>
      <c r="C482" s="19" t="n"/>
      <c r="D482" s="19" t="n"/>
      <c r="E482" s="20" t="n"/>
      <c r="F482" s="20" t="n"/>
      <c r="G482" s="19" t="n"/>
      <c r="H482" s="21">
        <f>IF(A482="","",YEAR(A482)*100+MONTH(A482))</f>
        <v/>
      </c>
    </row>
    <row r="483">
      <c r="A483" s="18" t="n"/>
      <c r="B483" s="19" t="n"/>
      <c r="C483" s="19" t="n"/>
      <c r="D483" s="19" t="n"/>
      <c r="E483" s="20" t="n"/>
      <c r="F483" s="20" t="n"/>
      <c r="G483" s="19" t="n"/>
      <c r="H483" s="21">
        <f>IF(A483="","",YEAR(A483)*100+MONTH(A483))</f>
        <v/>
      </c>
    </row>
    <row r="484">
      <c r="A484" s="18" t="n"/>
      <c r="B484" s="19" t="n"/>
      <c r="C484" s="19" t="n"/>
      <c r="D484" s="19" t="n"/>
      <c r="E484" s="20" t="n"/>
      <c r="F484" s="20" t="n"/>
      <c r="G484" s="19" t="n"/>
      <c r="H484" s="21">
        <f>IF(A484="","",YEAR(A484)*100+MONTH(A484))</f>
        <v/>
      </c>
    </row>
    <row r="485">
      <c r="A485" s="18" t="n"/>
      <c r="B485" s="19" t="n"/>
      <c r="C485" s="19" t="n"/>
      <c r="D485" s="19" t="n"/>
      <c r="E485" s="20" t="n"/>
      <c r="F485" s="20" t="n"/>
      <c r="G485" s="19" t="n"/>
      <c r="H485" s="21">
        <f>IF(A485="","",YEAR(A485)*100+MONTH(A485))</f>
        <v/>
      </c>
    </row>
    <row r="486">
      <c r="A486" s="18" t="n"/>
      <c r="B486" s="19" t="n"/>
      <c r="C486" s="19" t="n"/>
      <c r="D486" s="19" t="n"/>
      <c r="E486" s="20" t="n"/>
      <c r="F486" s="20" t="n"/>
      <c r="G486" s="19" t="n"/>
      <c r="H486" s="21">
        <f>IF(A486="","",YEAR(A486)*100+MONTH(A486))</f>
        <v/>
      </c>
    </row>
    <row r="487">
      <c r="A487" s="18" t="n"/>
      <c r="B487" s="19" t="n"/>
      <c r="C487" s="19" t="n"/>
      <c r="D487" s="19" t="n"/>
      <c r="E487" s="20" t="n"/>
      <c r="F487" s="20" t="n"/>
      <c r="G487" s="19" t="n"/>
      <c r="H487" s="21">
        <f>IF(A487="","",YEAR(A487)*100+MONTH(A487))</f>
        <v/>
      </c>
    </row>
    <row r="488">
      <c r="A488" s="18" t="n"/>
      <c r="B488" s="19" t="n"/>
      <c r="C488" s="19" t="n"/>
      <c r="D488" s="19" t="n"/>
      <c r="E488" s="20" t="n"/>
      <c r="F488" s="20" t="n"/>
      <c r="G488" s="19" t="n"/>
      <c r="H488" s="21">
        <f>IF(A488="","",YEAR(A488)*100+MONTH(A488))</f>
        <v/>
      </c>
    </row>
    <row r="489">
      <c r="A489" s="18" t="n"/>
      <c r="B489" s="19" t="n"/>
      <c r="C489" s="19" t="n"/>
      <c r="D489" s="19" t="n"/>
      <c r="E489" s="20" t="n"/>
      <c r="F489" s="20" t="n"/>
      <c r="G489" s="19" t="n"/>
      <c r="H489" s="21">
        <f>IF(A489="","",YEAR(A489)*100+MONTH(A489))</f>
        <v/>
      </c>
    </row>
    <row r="490">
      <c r="A490" s="18" t="n"/>
      <c r="B490" s="19" t="n"/>
      <c r="C490" s="19" t="n"/>
      <c r="D490" s="19" t="n"/>
      <c r="E490" s="20" t="n"/>
      <c r="F490" s="20" t="n"/>
      <c r="G490" s="19" t="n"/>
      <c r="H490" s="21">
        <f>IF(A490="","",YEAR(A490)*100+MONTH(A490))</f>
        <v/>
      </c>
    </row>
    <row r="491">
      <c r="A491" s="18" t="n"/>
      <c r="B491" s="19" t="n"/>
      <c r="C491" s="19" t="n"/>
      <c r="D491" s="19" t="n"/>
      <c r="E491" s="20" t="n"/>
      <c r="F491" s="20" t="n"/>
      <c r="G491" s="19" t="n"/>
      <c r="H491" s="21">
        <f>IF(A491="","",YEAR(A491)*100+MONTH(A491))</f>
        <v/>
      </c>
    </row>
    <row r="492">
      <c r="A492" s="18" t="n"/>
      <c r="B492" s="19" t="n"/>
      <c r="C492" s="19" t="n"/>
      <c r="D492" s="19" t="n"/>
      <c r="E492" s="20" t="n"/>
      <c r="F492" s="20" t="n"/>
      <c r="G492" s="19" t="n"/>
      <c r="H492" s="21">
        <f>IF(A492="","",YEAR(A492)*100+MONTH(A492))</f>
        <v/>
      </c>
    </row>
    <row r="493">
      <c r="A493" s="18" t="n"/>
      <c r="B493" s="19" t="n"/>
      <c r="C493" s="19" t="n"/>
      <c r="D493" s="19" t="n"/>
      <c r="E493" s="20" t="n"/>
      <c r="F493" s="20" t="n"/>
      <c r="G493" s="19" t="n"/>
      <c r="H493" s="21">
        <f>IF(A493="","",YEAR(A493)*100+MONTH(A493))</f>
        <v/>
      </c>
    </row>
    <row r="494">
      <c r="A494" s="18" t="n"/>
      <c r="B494" s="19" t="n"/>
      <c r="C494" s="19" t="n"/>
      <c r="D494" s="19" t="n"/>
      <c r="E494" s="20" t="n"/>
      <c r="F494" s="20" t="n"/>
      <c r="G494" s="19" t="n"/>
      <c r="H494" s="21">
        <f>IF(A494="","",YEAR(A494)*100+MONTH(A494))</f>
        <v/>
      </c>
    </row>
    <row r="495">
      <c r="A495" s="18" t="n"/>
      <c r="B495" s="19" t="n"/>
      <c r="C495" s="19" t="n"/>
      <c r="D495" s="19" t="n"/>
      <c r="E495" s="20" t="n"/>
      <c r="F495" s="20" t="n"/>
      <c r="G495" s="19" t="n"/>
      <c r="H495" s="21">
        <f>IF(A495="","",YEAR(A495)*100+MONTH(A495))</f>
        <v/>
      </c>
    </row>
    <row r="496">
      <c r="A496" s="18" t="n"/>
      <c r="B496" s="19" t="n"/>
      <c r="C496" s="19" t="n"/>
      <c r="D496" s="19" t="n"/>
      <c r="E496" s="20" t="n"/>
      <c r="F496" s="20" t="n"/>
      <c r="G496" s="19" t="n"/>
      <c r="H496" s="21">
        <f>IF(A496="","",YEAR(A496)*100+MONTH(A496))</f>
        <v/>
      </c>
    </row>
    <row r="497">
      <c r="A497" s="18" t="n"/>
      <c r="B497" s="19" t="n"/>
      <c r="C497" s="19" t="n"/>
      <c r="D497" s="19" t="n"/>
      <c r="E497" s="20" t="n"/>
      <c r="F497" s="20" t="n"/>
      <c r="G497" s="19" t="n"/>
      <c r="H497" s="21">
        <f>IF(A497="","",YEAR(A497)*100+MONTH(A497))</f>
        <v/>
      </c>
    </row>
    <row r="498">
      <c r="A498" s="18" t="n"/>
      <c r="B498" s="19" t="n"/>
      <c r="C498" s="19" t="n"/>
      <c r="D498" s="19" t="n"/>
      <c r="E498" s="20" t="n"/>
      <c r="F498" s="20" t="n"/>
      <c r="G498" s="19" t="n"/>
      <c r="H498" s="21">
        <f>IF(A498="","",YEAR(A498)*100+MONTH(A498))</f>
        <v/>
      </c>
    </row>
    <row r="499">
      <c r="A499" s="18" t="n"/>
      <c r="B499" s="19" t="n"/>
      <c r="C499" s="19" t="n"/>
      <c r="D499" s="19" t="n"/>
      <c r="E499" s="20" t="n"/>
      <c r="F499" s="20" t="n"/>
      <c r="G499" s="19" t="n"/>
      <c r="H499" s="21">
        <f>IF(A499="","",YEAR(A499)*100+MONTH(A499))</f>
        <v/>
      </c>
    </row>
    <row r="500">
      <c r="A500" s="18" t="n"/>
      <c r="B500" s="19" t="n"/>
      <c r="C500" s="19" t="n"/>
      <c r="D500" s="19" t="n"/>
      <c r="E500" s="20" t="n"/>
      <c r="F500" s="20" t="n"/>
      <c r="G500" s="19" t="n"/>
      <c r="H500" s="21">
        <f>IF(A500="","",YEAR(A500)*100+MONTH(A500))</f>
        <v/>
      </c>
    </row>
    <row r="501">
      <c r="A501" s="18" t="n"/>
      <c r="B501" s="19" t="n"/>
      <c r="C501" s="19" t="n"/>
      <c r="D501" s="19" t="n"/>
      <c r="E501" s="20" t="n"/>
      <c r="F501" s="20" t="n"/>
      <c r="G501" s="19" t="n"/>
      <c r="H501" s="21">
        <f>IF(A501="","",YEAR(A501)*100+MONTH(A501))</f>
        <v/>
      </c>
    </row>
    <row r="502">
      <c r="A502" s="18" t="n"/>
      <c r="B502" s="19" t="n"/>
      <c r="C502" s="19" t="n"/>
      <c r="D502" s="19" t="n"/>
      <c r="E502" s="20" t="n"/>
      <c r="F502" s="20" t="n"/>
      <c r="G502" s="19" t="n"/>
      <c r="H502" s="21">
        <f>IF(A502="","",YEAR(A502)*100+MONTH(A502))</f>
        <v/>
      </c>
    </row>
    <row r="503">
      <c r="A503" s="18" t="n"/>
      <c r="B503" s="19" t="n"/>
      <c r="C503" s="19" t="n"/>
      <c r="D503" s="19" t="n"/>
      <c r="E503" s="20" t="n"/>
      <c r="F503" s="20" t="n"/>
      <c r="G503" s="19" t="n"/>
      <c r="H503" s="21">
        <f>IF(A503="","",YEAR(A503)*100+MONTH(A503))</f>
        <v/>
      </c>
    </row>
    <row r="504">
      <c r="A504" s="18" t="n"/>
      <c r="B504" s="19" t="n"/>
      <c r="C504" s="19" t="n"/>
      <c r="D504" s="19" t="n"/>
      <c r="E504" s="20" t="n"/>
      <c r="F504" s="20" t="n"/>
      <c r="G504" s="19" t="n"/>
      <c r="H504" s="21">
        <f>IF(A504="","",YEAR(A504)*100+MONTH(A504))</f>
        <v/>
      </c>
    </row>
    <row r="505">
      <c r="A505" s="18" t="n"/>
      <c r="B505" s="19" t="n"/>
      <c r="C505" s="19" t="n"/>
      <c r="D505" s="19" t="n"/>
      <c r="E505" s="20" t="n"/>
      <c r="F505" s="20" t="n"/>
      <c r="G505" s="19" t="n"/>
      <c r="H505" s="21">
        <f>IF(A505="","",YEAR(A505)*100+MONTH(A505))</f>
        <v/>
      </c>
    </row>
    <row r="506">
      <c r="A506" s="18" t="n"/>
      <c r="B506" s="19" t="n"/>
      <c r="C506" s="19" t="n"/>
      <c r="D506" s="19" t="n"/>
      <c r="E506" s="20" t="n"/>
      <c r="F506" s="20" t="n"/>
      <c r="G506" s="19" t="n"/>
      <c r="H506" s="21">
        <f>IF(A506="","",YEAR(A506)*100+MONTH(A506))</f>
        <v/>
      </c>
    </row>
    <row r="507">
      <c r="A507" s="18" t="n"/>
      <c r="B507" s="19" t="n"/>
      <c r="C507" s="19" t="n"/>
      <c r="D507" s="19" t="n"/>
      <c r="E507" s="20" t="n"/>
      <c r="F507" s="20" t="n"/>
      <c r="G507" s="19" t="n"/>
      <c r="H507" s="21">
        <f>IF(A507="","",YEAR(A507)*100+MONTH(A507))</f>
        <v/>
      </c>
    </row>
    <row r="508">
      <c r="A508" s="18" t="n"/>
      <c r="B508" s="19" t="n"/>
      <c r="C508" s="19" t="n"/>
      <c r="D508" s="19" t="n"/>
      <c r="E508" s="20" t="n"/>
      <c r="F508" s="20" t="n"/>
      <c r="G508" s="19" t="n"/>
      <c r="H508" s="21">
        <f>IF(A508="","",YEAR(A508)*100+MONTH(A508))</f>
        <v/>
      </c>
    </row>
    <row r="509">
      <c r="A509" s="18" t="n"/>
      <c r="B509" s="19" t="n"/>
      <c r="C509" s="19" t="n"/>
      <c r="D509" s="19" t="n"/>
      <c r="E509" s="20" t="n"/>
      <c r="F509" s="20" t="n"/>
      <c r="G509" s="19" t="n"/>
      <c r="H509" s="21">
        <f>IF(A509="","",YEAR(A509)*100+MONTH(A509))</f>
        <v/>
      </c>
    </row>
    <row r="510">
      <c r="A510" s="18" t="n"/>
      <c r="B510" s="19" t="n"/>
      <c r="C510" s="19" t="n"/>
      <c r="D510" s="19" t="n"/>
      <c r="E510" s="20" t="n"/>
      <c r="F510" s="20" t="n"/>
      <c r="G510" s="19" t="n"/>
      <c r="H510" s="21">
        <f>IF(A510="","",YEAR(A510)*100+MONTH(A510))</f>
        <v/>
      </c>
    </row>
    <row r="511">
      <c r="A511" s="18" t="n"/>
      <c r="B511" s="19" t="n"/>
      <c r="C511" s="19" t="n"/>
      <c r="D511" s="19" t="n"/>
      <c r="E511" s="20" t="n"/>
      <c r="F511" s="20" t="n"/>
      <c r="G511" s="19" t="n"/>
      <c r="H511" s="21">
        <f>IF(A511="","",YEAR(A511)*100+MONTH(A511))</f>
        <v/>
      </c>
    </row>
    <row r="512">
      <c r="A512" s="18" t="n"/>
      <c r="B512" s="19" t="n"/>
      <c r="C512" s="19" t="n"/>
      <c r="D512" s="19" t="n"/>
      <c r="E512" s="20" t="n"/>
      <c r="F512" s="20" t="n"/>
      <c r="G512" s="19" t="n"/>
      <c r="H512" s="21">
        <f>IF(A512="","",YEAR(A512)*100+MONTH(A512))</f>
        <v/>
      </c>
    </row>
    <row r="513">
      <c r="A513" s="18" t="n"/>
      <c r="B513" s="19" t="n"/>
      <c r="C513" s="19" t="n"/>
      <c r="D513" s="19" t="n"/>
      <c r="E513" s="20" t="n"/>
      <c r="F513" s="20" t="n"/>
      <c r="G513" s="19" t="n"/>
      <c r="H513" s="21">
        <f>IF(A513="","",YEAR(A513)*100+MONTH(A513))</f>
        <v/>
      </c>
    </row>
    <row r="514">
      <c r="A514" s="18" t="n"/>
      <c r="B514" s="19" t="n"/>
      <c r="C514" s="19" t="n"/>
      <c r="D514" s="19" t="n"/>
      <c r="E514" s="20" t="n"/>
      <c r="F514" s="20" t="n"/>
      <c r="G514" s="19" t="n"/>
      <c r="H514" s="21">
        <f>IF(A514="","",YEAR(A514)*100+MONTH(A514))</f>
        <v/>
      </c>
    </row>
    <row r="515">
      <c r="A515" s="18" t="n"/>
      <c r="B515" s="19" t="n"/>
      <c r="C515" s="19" t="n"/>
      <c r="D515" s="19" t="n"/>
      <c r="E515" s="20" t="n"/>
      <c r="F515" s="20" t="n"/>
      <c r="G515" s="19" t="n"/>
      <c r="H515" s="21">
        <f>IF(A515="","",YEAR(A515)*100+MONTH(A515))</f>
        <v/>
      </c>
    </row>
    <row r="516">
      <c r="A516" s="18" t="n"/>
      <c r="B516" s="19" t="n"/>
      <c r="C516" s="19" t="n"/>
      <c r="D516" s="19" t="n"/>
      <c r="E516" s="20" t="n"/>
      <c r="F516" s="20" t="n"/>
      <c r="G516" s="19" t="n"/>
      <c r="H516" s="21">
        <f>IF(A516="","",YEAR(A516)*100+MONTH(A516))</f>
        <v/>
      </c>
    </row>
    <row r="517">
      <c r="A517" s="18" t="n"/>
      <c r="B517" s="19" t="n"/>
      <c r="C517" s="19" t="n"/>
      <c r="D517" s="19" t="n"/>
      <c r="E517" s="20" t="n"/>
      <c r="F517" s="20" t="n"/>
      <c r="G517" s="19" t="n"/>
      <c r="H517" s="21">
        <f>IF(A517="","",YEAR(A517)*100+MONTH(A517))</f>
        <v/>
      </c>
    </row>
    <row r="518">
      <c r="A518" s="18" t="n"/>
      <c r="B518" s="19" t="n"/>
      <c r="C518" s="19" t="n"/>
      <c r="D518" s="19" t="n"/>
      <c r="E518" s="20" t="n"/>
      <c r="F518" s="20" t="n"/>
      <c r="G518" s="19" t="n"/>
      <c r="H518" s="21">
        <f>IF(A518="","",YEAR(A518)*100+MONTH(A518))</f>
        <v/>
      </c>
    </row>
    <row r="519">
      <c r="A519" s="18" t="n"/>
      <c r="B519" s="19" t="n"/>
      <c r="C519" s="19" t="n"/>
      <c r="D519" s="19" t="n"/>
      <c r="E519" s="20" t="n"/>
      <c r="F519" s="20" t="n"/>
      <c r="G519" s="19" t="n"/>
      <c r="H519" s="21">
        <f>IF(A519="","",YEAR(A519)*100+MONTH(A519))</f>
        <v/>
      </c>
    </row>
    <row r="520">
      <c r="A520" s="18" t="n"/>
      <c r="B520" s="19" t="n"/>
      <c r="C520" s="19" t="n"/>
      <c r="D520" s="19" t="n"/>
      <c r="E520" s="20" t="n"/>
      <c r="F520" s="20" t="n"/>
      <c r="G520" s="19" t="n"/>
      <c r="H520" s="21">
        <f>IF(A520="","",YEAR(A520)*100+MONTH(A520))</f>
        <v/>
      </c>
    </row>
    <row r="521">
      <c r="A521" s="18" t="n"/>
      <c r="B521" s="19" t="n"/>
      <c r="C521" s="19" t="n"/>
      <c r="D521" s="19" t="n"/>
      <c r="E521" s="20" t="n"/>
      <c r="F521" s="20" t="n"/>
      <c r="G521" s="19" t="n"/>
      <c r="H521" s="21">
        <f>IF(A521="","",YEAR(A521)*100+MONTH(A521))</f>
        <v/>
      </c>
    </row>
    <row r="522">
      <c r="A522" s="18" t="n"/>
      <c r="B522" s="19" t="n"/>
      <c r="C522" s="19" t="n"/>
      <c r="D522" s="19" t="n"/>
      <c r="E522" s="20" t="n"/>
      <c r="F522" s="20" t="n"/>
      <c r="G522" s="19" t="n"/>
      <c r="H522" s="21">
        <f>IF(A522="","",YEAR(A522)*100+MONTH(A522))</f>
        <v/>
      </c>
    </row>
    <row r="523">
      <c r="A523" s="18" t="n"/>
      <c r="B523" s="19" t="n"/>
      <c r="C523" s="19" t="n"/>
      <c r="D523" s="19" t="n"/>
      <c r="E523" s="20" t="n"/>
      <c r="F523" s="20" t="n"/>
      <c r="G523" s="19" t="n"/>
      <c r="H523" s="21">
        <f>IF(A523="","",YEAR(A523)*100+MONTH(A523))</f>
        <v/>
      </c>
    </row>
    <row r="524">
      <c r="A524" s="18" t="n"/>
      <c r="B524" s="19" t="n"/>
      <c r="C524" s="19" t="n"/>
      <c r="D524" s="19" t="n"/>
      <c r="E524" s="20" t="n"/>
      <c r="F524" s="20" t="n"/>
      <c r="G524" s="19" t="n"/>
      <c r="H524" s="21">
        <f>IF(A524="","",YEAR(A524)*100+MONTH(A524))</f>
        <v/>
      </c>
    </row>
    <row r="525">
      <c r="A525" s="18" t="n"/>
      <c r="B525" s="19" t="n"/>
      <c r="C525" s="19" t="n"/>
      <c r="D525" s="19" t="n"/>
      <c r="E525" s="20" t="n"/>
      <c r="F525" s="20" t="n"/>
      <c r="G525" s="19" t="n"/>
      <c r="H525" s="21">
        <f>IF(A525="","",YEAR(A525)*100+MONTH(A525))</f>
        <v/>
      </c>
    </row>
    <row r="526">
      <c r="A526" s="18" t="n"/>
      <c r="B526" s="19" t="n"/>
      <c r="C526" s="19" t="n"/>
      <c r="D526" s="19" t="n"/>
      <c r="E526" s="20" t="n"/>
      <c r="F526" s="20" t="n"/>
      <c r="G526" s="19" t="n"/>
      <c r="H526" s="21">
        <f>IF(A526="","",YEAR(A526)*100+MONTH(A526))</f>
        <v/>
      </c>
    </row>
    <row r="527">
      <c r="A527" s="18" t="n"/>
      <c r="B527" s="19" t="n"/>
      <c r="C527" s="19" t="n"/>
      <c r="D527" s="19" t="n"/>
      <c r="E527" s="20" t="n"/>
      <c r="F527" s="20" t="n"/>
      <c r="G527" s="19" t="n"/>
      <c r="H527" s="21">
        <f>IF(A527="","",YEAR(A527)*100+MONTH(A527))</f>
        <v/>
      </c>
    </row>
    <row r="528">
      <c r="A528" s="18" t="n"/>
      <c r="B528" s="19" t="n"/>
      <c r="C528" s="19" t="n"/>
      <c r="D528" s="19" t="n"/>
      <c r="E528" s="20" t="n"/>
      <c r="F528" s="20" t="n"/>
      <c r="G528" s="19" t="n"/>
      <c r="H528" s="21">
        <f>IF(A528="","",YEAR(A528)*100+MONTH(A528))</f>
        <v/>
      </c>
    </row>
    <row r="529">
      <c r="A529" s="18" t="n"/>
      <c r="B529" s="19" t="n"/>
      <c r="C529" s="19" t="n"/>
      <c r="D529" s="19" t="n"/>
      <c r="E529" s="20" t="n"/>
      <c r="F529" s="20" t="n"/>
      <c r="G529" s="19" t="n"/>
      <c r="H529" s="21">
        <f>IF(A529="","",YEAR(A529)*100+MONTH(A529))</f>
        <v/>
      </c>
    </row>
    <row r="530">
      <c r="A530" s="18" t="n"/>
      <c r="B530" s="19" t="n"/>
      <c r="C530" s="19" t="n"/>
      <c r="D530" s="19" t="n"/>
      <c r="E530" s="20" t="n"/>
      <c r="F530" s="20" t="n"/>
      <c r="G530" s="19" t="n"/>
      <c r="H530" s="21">
        <f>IF(A530="","",YEAR(A530)*100+MONTH(A530))</f>
        <v/>
      </c>
    </row>
    <row r="531">
      <c r="A531" s="18" t="n"/>
      <c r="B531" s="19" t="n"/>
      <c r="C531" s="19" t="n"/>
      <c r="D531" s="19" t="n"/>
      <c r="E531" s="20" t="n"/>
      <c r="F531" s="20" t="n"/>
      <c r="G531" s="19" t="n"/>
      <c r="H531" s="21">
        <f>IF(A531="","",YEAR(A531)*100+MONTH(A531))</f>
        <v/>
      </c>
    </row>
    <row r="532">
      <c r="A532" s="18" t="n"/>
      <c r="B532" s="19" t="n"/>
      <c r="C532" s="19" t="n"/>
      <c r="D532" s="19" t="n"/>
      <c r="E532" s="20" t="n"/>
      <c r="F532" s="20" t="n"/>
      <c r="G532" s="19" t="n"/>
      <c r="H532" s="21">
        <f>IF(A532="","",YEAR(A532)*100+MONTH(A532))</f>
        <v/>
      </c>
    </row>
    <row r="533">
      <c r="A533" s="18" t="n"/>
      <c r="B533" s="19" t="n"/>
      <c r="C533" s="19" t="n"/>
      <c r="D533" s="19" t="n"/>
      <c r="E533" s="20" t="n"/>
      <c r="F533" s="20" t="n"/>
      <c r="G533" s="19" t="n"/>
      <c r="H533" s="21">
        <f>IF(A533="","",YEAR(A533)*100+MONTH(A533))</f>
        <v/>
      </c>
    </row>
    <row r="534">
      <c r="A534" s="18" t="n"/>
      <c r="B534" s="19" t="n"/>
      <c r="C534" s="19" t="n"/>
      <c r="D534" s="19" t="n"/>
      <c r="E534" s="20" t="n"/>
      <c r="F534" s="20" t="n"/>
      <c r="G534" s="19" t="n"/>
      <c r="H534" s="21">
        <f>IF(A534="","",YEAR(A534)*100+MONTH(A534))</f>
        <v/>
      </c>
    </row>
    <row r="535">
      <c r="A535" s="18" t="n"/>
      <c r="B535" s="19" t="n"/>
      <c r="C535" s="19" t="n"/>
      <c r="D535" s="19" t="n"/>
      <c r="E535" s="20" t="n"/>
      <c r="F535" s="20" t="n"/>
      <c r="G535" s="19" t="n"/>
      <c r="H535" s="21">
        <f>IF(A535="","",YEAR(A535)*100+MONTH(A535))</f>
        <v/>
      </c>
    </row>
    <row r="536">
      <c r="A536" s="18" t="n"/>
      <c r="B536" s="19" t="n"/>
      <c r="C536" s="19" t="n"/>
      <c r="D536" s="19" t="n"/>
      <c r="E536" s="20" t="n"/>
      <c r="F536" s="20" t="n"/>
      <c r="G536" s="19" t="n"/>
      <c r="H536" s="21">
        <f>IF(A536="","",YEAR(A536)*100+MONTH(A536))</f>
        <v/>
      </c>
    </row>
    <row r="537">
      <c r="A537" s="18" t="n"/>
      <c r="B537" s="19" t="n"/>
      <c r="C537" s="19" t="n"/>
      <c r="D537" s="19" t="n"/>
      <c r="E537" s="20" t="n"/>
      <c r="F537" s="20" t="n"/>
      <c r="G537" s="19" t="n"/>
      <c r="H537" s="21">
        <f>IF(A537="","",YEAR(A537)*100+MONTH(A537))</f>
        <v/>
      </c>
    </row>
    <row r="538">
      <c r="A538" s="18" t="n"/>
      <c r="B538" s="19" t="n"/>
      <c r="C538" s="19" t="n"/>
      <c r="D538" s="19" t="n"/>
      <c r="E538" s="20" t="n"/>
      <c r="F538" s="20" t="n"/>
      <c r="G538" s="19" t="n"/>
      <c r="H538" s="21">
        <f>IF(A538="","",YEAR(A538)*100+MONTH(A538))</f>
        <v/>
      </c>
    </row>
    <row r="539">
      <c r="A539" s="18" t="n"/>
      <c r="B539" s="19" t="n"/>
      <c r="C539" s="19" t="n"/>
      <c r="D539" s="19" t="n"/>
      <c r="E539" s="20" t="n"/>
      <c r="F539" s="20" t="n"/>
      <c r="G539" s="19" t="n"/>
      <c r="H539" s="21">
        <f>IF(A539="","",YEAR(A539)*100+MONTH(A539))</f>
        <v/>
      </c>
    </row>
    <row r="540">
      <c r="A540" s="18" t="n"/>
      <c r="B540" s="19" t="n"/>
      <c r="C540" s="19" t="n"/>
      <c r="D540" s="19" t="n"/>
      <c r="E540" s="20" t="n"/>
      <c r="F540" s="20" t="n"/>
      <c r="G540" s="19" t="n"/>
      <c r="H540" s="21">
        <f>IF(A540="","",YEAR(A540)*100+MONTH(A540))</f>
        <v/>
      </c>
    </row>
    <row r="541">
      <c r="A541" s="18" t="n"/>
      <c r="B541" s="19" t="n"/>
      <c r="C541" s="19" t="n"/>
      <c r="D541" s="19" t="n"/>
      <c r="E541" s="20" t="n"/>
      <c r="F541" s="20" t="n"/>
      <c r="G541" s="19" t="n"/>
      <c r="H541" s="21">
        <f>IF(A541="","",YEAR(A541)*100+MONTH(A541))</f>
        <v/>
      </c>
    </row>
    <row r="542">
      <c r="A542" s="18" t="n"/>
      <c r="B542" s="19" t="n"/>
      <c r="C542" s="19" t="n"/>
      <c r="D542" s="19" t="n"/>
      <c r="E542" s="20" t="n"/>
      <c r="F542" s="20" t="n"/>
      <c r="G542" s="19" t="n"/>
      <c r="H542" s="21">
        <f>IF(A542="","",YEAR(A542)*100+MONTH(A542))</f>
        <v/>
      </c>
    </row>
    <row r="543">
      <c r="A543" s="18" t="n"/>
      <c r="B543" s="19" t="n"/>
      <c r="C543" s="19" t="n"/>
      <c r="D543" s="19" t="n"/>
      <c r="E543" s="20" t="n"/>
      <c r="F543" s="20" t="n"/>
      <c r="G543" s="19" t="n"/>
      <c r="H543" s="21">
        <f>IF(A543="","",YEAR(A543)*100+MONTH(A543))</f>
        <v/>
      </c>
    </row>
    <row r="544">
      <c r="A544" s="18" t="n"/>
      <c r="B544" s="19" t="n"/>
      <c r="C544" s="19" t="n"/>
      <c r="D544" s="19" t="n"/>
      <c r="E544" s="20" t="n"/>
      <c r="F544" s="20" t="n"/>
      <c r="G544" s="19" t="n"/>
      <c r="H544" s="21">
        <f>IF(A544="","",YEAR(A544)*100+MONTH(A544))</f>
        <v/>
      </c>
    </row>
    <row r="545">
      <c r="A545" s="18" t="n"/>
      <c r="B545" s="19" t="n"/>
      <c r="C545" s="19" t="n"/>
      <c r="D545" s="19" t="n"/>
      <c r="E545" s="20" t="n"/>
      <c r="F545" s="20" t="n"/>
      <c r="G545" s="19" t="n"/>
      <c r="H545" s="21">
        <f>IF(A545="","",YEAR(A545)*100+MONTH(A545))</f>
        <v/>
      </c>
    </row>
    <row r="546">
      <c r="A546" s="18" t="n"/>
      <c r="B546" s="19" t="n"/>
      <c r="C546" s="19" t="n"/>
      <c r="D546" s="19" t="n"/>
      <c r="E546" s="20" t="n"/>
      <c r="F546" s="20" t="n"/>
      <c r="G546" s="19" t="n"/>
      <c r="H546" s="21">
        <f>IF(A546="","",YEAR(A546)*100+MONTH(A546))</f>
        <v/>
      </c>
    </row>
    <row r="547">
      <c r="A547" s="18" t="n"/>
      <c r="B547" s="19" t="n"/>
      <c r="C547" s="19" t="n"/>
      <c r="D547" s="19" t="n"/>
      <c r="E547" s="20" t="n"/>
      <c r="F547" s="20" t="n"/>
      <c r="G547" s="19" t="n"/>
      <c r="H547" s="21">
        <f>IF(A547="","",YEAR(A547)*100+MONTH(A547))</f>
        <v/>
      </c>
    </row>
    <row r="548">
      <c r="A548" s="18" t="n"/>
      <c r="B548" s="19" t="n"/>
      <c r="C548" s="19" t="n"/>
      <c r="D548" s="19" t="n"/>
      <c r="E548" s="20" t="n"/>
      <c r="F548" s="20" t="n"/>
      <c r="G548" s="19" t="n"/>
      <c r="H548" s="21">
        <f>IF(A548="","",YEAR(A548)*100+MONTH(A548))</f>
        <v/>
      </c>
    </row>
    <row r="549">
      <c r="A549" s="18" t="n"/>
      <c r="B549" s="19" t="n"/>
      <c r="C549" s="19" t="n"/>
      <c r="D549" s="19" t="n"/>
      <c r="E549" s="20" t="n"/>
      <c r="F549" s="20" t="n"/>
      <c r="G549" s="19" t="n"/>
      <c r="H549" s="21">
        <f>IF(A549="","",YEAR(A549)*100+MONTH(A549))</f>
        <v/>
      </c>
    </row>
    <row r="550">
      <c r="A550" s="18" t="n"/>
      <c r="B550" s="19" t="n"/>
      <c r="C550" s="19" t="n"/>
      <c r="D550" s="19" t="n"/>
      <c r="E550" s="20" t="n"/>
      <c r="F550" s="20" t="n"/>
      <c r="G550" s="19" t="n"/>
      <c r="H550" s="21">
        <f>IF(A550="","",YEAR(A550)*100+MONTH(A550))</f>
        <v/>
      </c>
    </row>
    <row r="551">
      <c r="A551" s="18" t="n"/>
      <c r="B551" s="19" t="n"/>
      <c r="C551" s="19" t="n"/>
      <c r="D551" s="19" t="n"/>
      <c r="E551" s="20" t="n"/>
      <c r="F551" s="20" t="n"/>
      <c r="G551" s="19" t="n"/>
      <c r="H551" s="21">
        <f>IF(A551="","",YEAR(A551)*100+MONTH(A551))</f>
        <v/>
      </c>
    </row>
    <row r="552">
      <c r="A552" s="18" t="n"/>
      <c r="B552" s="19" t="n"/>
      <c r="C552" s="19" t="n"/>
      <c r="D552" s="19" t="n"/>
      <c r="E552" s="20" t="n"/>
      <c r="F552" s="20" t="n"/>
      <c r="G552" s="19" t="n"/>
      <c r="H552" s="21">
        <f>IF(A552="","",YEAR(A552)*100+MONTH(A552))</f>
        <v/>
      </c>
    </row>
    <row r="553">
      <c r="A553" s="18" t="n"/>
      <c r="B553" s="19" t="n"/>
      <c r="C553" s="19" t="n"/>
      <c r="D553" s="19" t="n"/>
      <c r="E553" s="20" t="n"/>
      <c r="F553" s="20" t="n"/>
      <c r="G553" s="19" t="n"/>
      <c r="H553" s="21">
        <f>IF(A553="","",YEAR(A553)*100+MONTH(A553))</f>
        <v/>
      </c>
    </row>
    <row r="554">
      <c r="A554" s="18" t="n"/>
      <c r="B554" s="19" t="n"/>
      <c r="C554" s="19" t="n"/>
      <c r="D554" s="19" t="n"/>
      <c r="E554" s="20" t="n"/>
      <c r="F554" s="20" t="n"/>
      <c r="G554" s="19" t="n"/>
      <c r="H554" s="21">
        <f>IF(A554="","",YEAR(A554)*100+MONTH(A554))</f>
        <v/>
      </c>
    </row>
    <row r="555">
      <c r="A555" s="18" t="n"/>
      <c r="B555" s="19" t="n"/>
      <c r="C555" s="19" t="n"/>
      <c r="D555" s="19" t="n"/>
      <c r="E555" s="20" t="n"/>
      <c r="F555" s="20" t="n"/>
      <c r="G555" s="19" t="n"/>
      <c r="H555" s="21">
        <f>IF(A555="","",YEAR(A555)*100+MONTH(A555))</f>
        <v/>
      </c>
    </row>
    <row r="556">
      <c r="A556" s="18" t="n"/>
      <c r="B556" s="19" t="n"/>
      <c r="C556" s="19" t="n"/>
      <c r="D556" s="19" t="n"/>
      <c r="E556" s="20" t="n"/>
      <c r="F556" s="20" t="n"/>
      <c r="G556" s="19" t="n"/>
      <c r="H556" s="21">
        <f>IF(A556="","",YEAR(A556)*100+MONTH(A556))</f>
        <v/>
      </c>
    </row>
    <row r="557">
      <c r="A557" s="18" t="n"/>
      <c r="B557" s="19" t="n"/>
      <c r="C557" s="19" t="n"/>
      <c r="D557" s="19" t="n"/>
      <c r="E557" s="20" t="n"/>
      <c r="F557" s="20" t="n"/>
      <c r="G557" s="19" t="n"/>
      <c r="H557" s="21">
        <f>IF(A557="","",YEAR(A557)*100+MONTH(A557))</f>
        <v/>
      </c>
    </row>
    <row r="558">
      <c r="A558" s="18" t="n"/>
      <c r="B558" s="19" t="n"/>
      <c r="C558" s="19" t="n"/>
      <c r="D558" s="19" t="n"/>
      <c r="E558" s="20" t="n"/>
      <c r="F558" s="20" t="n"/>
      <c r="G558" s="19" t="n"/>
      <c r="H558" s="21">
        <f>IF(A558="","",YEAR(A558)*100+MONTH(A558))</f>
        <v/>
      </c>
    </row>
    <row r="559">
      <c r="A559" s="18" t="n"/>
      <c r="B559" s="19" t="n"/>
      <c r="C559" s="19" t="n"/>
      <c r="D559" s="19" t="n"/>
      <c r="E559" s="20" t="n"/>
      <c r="F559" s="20" t="n"/>
      <c r="G559" s="19" t="n"/>
      <c r="H559" s="21">
        <f>IF(A559="","",YEAR(A559)*100+MONTH(A559))</f>
        <v/>
      </c>
    </row>
    <row r="560">
      <c r="A560" s="18" t="n"/>
      <c r="B560" s="19" t="n"/>
      <c r="C560" s="19" t="n"/>
      <c r="D560" s="19" t="n"/>
      <c r="E560" s="20" t="n"/>
      <c r="F560" s="20" t="n"/>
      <c r="G560" s="19" t="n"/>
      <c r="H560" s="21">
        <f>IF(A560="","",YEAR(A560)*100+MONTH(A560))</f>
        <v/>
      </c>
    </row>
    <row r="561">
      <c r="A561" s="18" t="n"/>
      <c r="B561" s="19" t="n"/>
      <c r="C561" s="19" t="n"/>
      <c r="D561" s="19" t="n"/>
      <c r="E561" s="20" t="n"/>
      <c r="F561" s="20" t="n"/>
      <c r="G561" s="19" t="n"/>
      <c r="H561" s="21">
        <f>IF(A561="","",YEAR(A561)*100+MONTH(A561))</f>
        <v/>
      </c>
    </row>
    <row r="562">
      <c r="A562" s="18" t="n"/>
      <c r="B562" s="19" t="n"/>
      <c r="C562" s="19" t="n"/>
      <c r="D562" s="19" t="n"/>
      <c r="E562" s="20" t="n"/>
      <c r="F562" s="20" t="n"/>
      <c r="G562" s="19" t="n"/>
      <c r="H562" s="21">
        <f>IF(A562="","",YEAR(A562)*100+MONTH(A562))</f>
        <v/>
      </c>
    </row>
    <row r="563">
      <c r="A563" s="18" t="n"/>
      <c r="B563" s="19" t="n"/>
      <c r="C563" s="19" t="n"/>
      <c r="D563" s="19" t="n"/>
      <c r="E563" s="20" t="n"/>
      <c r="F563" s="20" t="n"/>
      <c r="G563" s="19" t="n"/>
      <c r="H563" s="21">
        <f>IF(A563="","",YEAR(A563)*100+MONTH(A563))</f>
        <v/>
      </c>
    </row>
    <row r="564">
      <c r="A564" s="18" t="n"/>
      <c r="B564" s="19" t="n"/>
      <c r="C564" s="19" t="n"/>
      <c r="D564" s="19" t="n"/>
      <c r="E564" s="20" t="n"/>
      <c r="F564" s="20" t="n"/>
      <c r="G564" s="19" t="n"/>
      <c r="H564" s="21">
        <f>IF(A564="","",YEAR(A564)*100+MONTH(A564))</f>
        <v/>
      </c>
    </row>
    <row r="565">
      <c r="A565" s="18" t="n"/>
      <c r="B565" s="19" t="n"/>
      <c r="C565" s="19" t="n"/>
      <c r="D565" s="19" t="n"/>
      <c r="E565" s="20" t="n"/>
      <c r="F565" s="20" t="n"/>
      <c r="G565" s="19" t="n"/>
      <c r="H565" s="21">
        <f>IF(A565="","",YEAR(A565)*100+MONTH(A565))</f>
        <v/>
      </c>
    </row>
    <row r="566">
      <c r="A566" s="18" t="n"/>
      <c r="B566" s="19" t="n"/>
      <c r="C566" s="19" t="n"/>
      <c r="D566" s="19" t="n"/>
      <c r="E566" s="20" t="n"/>
      <c r="F566" s="20" t="n"/>
      <c r="G566" s="19" t="n"/>
      <c r="H566" s="21">
        <f>IF(A566="","",YEAR(A566)*100+MONTH(A566))</f>
        <v/>
      </c>
    </row>
    <row r="567">
      <c r="A567" s="18" t="n"/>
      <c r="B567" s="19" t="n"/>
      <c r="C567" s="19" t="n"/>
      <c r="D567" s="19" t="n"/>
      <c r="E567" s="20" t="n"/>
      <c r="F567" s="20" t="n"/>
      <c r="G567" s="19" t="n"/>
      <c r="H567" s="21">
        <f>IF(A567="","",YEAR(A567)*100+MONTH(A567))</f>
        <v/>
      </c>
    </row>
    <row r="568">
      <c r="A568" s="18" t="n"/>
      <c r="B568" s="19" t="n"/>
      <c r="C568" s="19" t="n"/>
      <c r="D568" s="19" t="n"/>
      <c r="E568" s="20" t="n"/>
      <c r="F568" s="20" t="n"/>
      <c r="G568" s="19" t="n"/>
      <c r="H568" s="21">
        <f>IF(A568="","",YEAR(A568)*100+MONTH(A568))</f>
        <v/>
      </c>
    </row>
    <row r="569">
      <c r="A569" s="18" t="n"/>
      <c r="B569" s="19" t="n"/>
      <c r="C569" s="19" t="n"/>
      <c r="D569" s="19" t="n"/>
      <c r="E569" s="20" t="n"/>
      <c r="F569" s="20" t="n"/>
      <c r="G569" s="19" t="n"/>
      <c r="H569" s="21">
        <f>IF(A569="","",YEAR(A569)*100+MONTH(A569))</f>
        <v/>
      </c>
    </row>
    <row r="570">
      <c r="A570" s="18" t="n"/>
      <c r="B570" s="19" t="n"/>
      <c r="C570" s="19" t="n"/>
      <c r="D570" s="19" t="n"/>
      <c r="E570" s="20" t="n"/>
      <c r="F570" s="20" t="n"/>
      <c r="G570" s="19" t="n"/>
      <c r="H570" s="21">
        <f>IF(A570="","",YEAR(A570)*100+MONTH(A570))</f>
        <v/>
      </c>
    </row>
    <row r="571">
      <c r="A571" s="18" t="n"/>
      <c r="B571" s="19" t="n"/>
      <c r="C571" s="19" t="n"/>
      <c r="D571" s="19" t="n"/>
      <c r="E571" s="20" t="n"/>
      <c r="F571" s="20" t="n"/>
      <c r="G571" s="19" t="n"/>
      <c r="H571" s="21">
        <f>IF(A571="","",YEAR(A571)*100+MONTH(A571))</f>
        <v/>
      </c>
    </row>
    <row r="572">
      <c r="A572" s="18" t="n"/>
      <c r="B572" s="19" t="n"/>
      <c r="C572" s="19" t="n"/>
      <c r="D572" s="19" t="n"/>
      <c r="E572" s="20" t="n"/>
      <c r="F572" s="20" t="n"/>
      <c r="G572" s="19" t="n"/>
      <c r="H572" s="21">
        <f>IF(A572="","",YEAR(A572)*100+MONTH(A572))</f>
        <v/>
      </c>
    </row>
    <row r="573">
      <c r="A573" s="18" t="n"/>
      <c r="B573" s="19" t="n"/>
      <c r="C573" s="19" t="n"/>
      <c r="D573" s="19" t="n"/>
      <c r="E573" s="20" t="n"/>
      <c r="F573" s="20" t="n"/>
      <c r="G573" s="19" t="n"/>
      <c r="H573" s="21">
        <f>IF(A573="","",YEAR(A573)*100+MONTH(A573))</f>
        <v/>
      </c>
    </row>
    <row r="574">
      <c r="A574" s="18" t="n"/>
      <c r="B574" s="19" t="n"/>
      <c r="C574" s="19" t="n"/>
      <c r="D574" s="19" t="n"/>
      <c r="E574" s="20" t="n"/>
      <c r="F574" s="20" t="n"/>
      <c r="G574" s="19" t="n"/>
      <c r="H574" s="21">
        <f>IF(A574="","",YEAR(A574)*100+MONTH(A574))</f>
        <v/>
      </c>
    </row>
    <row r="575">
      <c r="A575" s="18" t="n"/>
      <c r="B575" s="19" t="n"/>
      <c r="C575" s="19" t="n"/>
      <c r="D575" s="19" t="n"/>
      <c r="E575" s="20" t="n"/>
      <c r="F575" s="20" t="n"/>
      <c r="G575" s="19" t="n"/>
      <c r="H575" s="21">
        <f>IF(A575="","",YEAR(A575)*100+MONTH(A575))</f>
        <v/>
      </c>
    </row>
    <row r="576">
      <c r="A576" s="18" t="n"/>
      <c r="B576" s="19" t="n"/>
      <c r="C576" s="19" t="n"/>
      <c r="D576" s="19" t="n"/>
      <c r="E576" s="20" t="n"/>
      <c r="F576" s="20" t="n"/>
      <c r="G576" s="19" t="n"/>
      <c r="H576" s="21">
        <f>IF(A576="","",YEAR(A576)*100+MONTH(A576))</f>
        <v/>
      </c>
    </row>
    <row r="577">
      <c r="A577" s="18" t="n"/>
      <c r="B577" s="19" t="n"/>
      <c r="C577" s="19" t="n"/>
      <c r="D577" s="19" t="n"/>
      <c r="E577" s="20" t="n"/>
      <c r="F577" s="20" t="n"/>
      <c r="G577" s="19" t="n"/>
      <c r="H577" s="21">
        <f>IF(A577="","",YEAR(A577)*100+MONTH(A577))</f>
        <v/>
      </c>
    </row>
    <row r="578">
      <c r="A578" s="18" t="n"/>
      <c r="B578" s="19" t="n"/>
      <c r="C578" s="19" t="n"/>
      <c r="D578" s="19" t="n"/>
      <c r="E578" s="20" t="n"/>
      <c r="F578" s="20" t="n"/>
      <c r="G578" s="19" t="n"/>
      <c r="H578" s="21">
        <f>IF(A578="","",YEAR(A578)*100+MONTH(A578))</f>
        <v/>
      </c>
    </row>
    <row r="579">
      <c r="A579" s="18" t="n"/>
      <c r="B579" s="19" t="n"/>
      <c r="C579" s="19" t="n"/>
      <c r="D579" s="19" t="n"/>
      <c r="E579" s="20" t="n"/>
      <c r="F579" s="20" t="n"/>
      <c r="G579" s="19" t="n"/>
      <c r="H579" s="21">
        <f>IF(A579="","",YEAR(A579)*100+MONTH(A579))</f>
        <v/>
      </c>
    </row>
    <row r="580">
      <c r="A580" s="18" t="n"/>
      <c r="B580" s="19" t="n"/>
      <c r="C580" s="19" t="n"/>
      <c r="D580" s="19" t="n"/>
      <c r="E580" s="20" t="n"/>
      <c r="F580" s="20" t="n"/>
      <c r="G580" s="19" t="n"/>
      <c r="H580" s="21">
        <f>IF(A580="","",YEAR(A580)*100+MONTH(A580))</f>
        <v/>
      </c>
    </row>
    <row r="581">
      <c r="A581" s="18" t="n"/>
      <c r="B581" s="19" t="n"/>
      <c r="C581" s="19" t="n"/>
      <c r="D581" s="19" t="n"/>
      <c r="E581" s="20" t="n"/>
      <c r="F581" s="20" t="n"/>
      <c r="G581" s="19" t="n"/>
      <c r="H581" s="21">
        <f>IF(A581="","",YEAR(A581)*100+MONTH(A581))</f>
        <v/>
      </c>
    </row>
    <row r="582">
      <c r="A582" s="18" t="n"/>
      <c r="B582" s="19" t="n"/>
      <c r="C582" s="19" t="n"/>
      <c r="D582" s="19" t="n"/>
      <c r="E582" s="20" t="n"/>
      <c r="F582" s="20" t="n"/>
      <c r="G582" s="19" t="n"/>
      <c r="H582" s="21">
        <f>IF(A582="","",YEAR(A582)*100+MONTH(A582))</f>
        <v/>
      </c>
    </row>
    <row r="583">
      <c r="A583" s="18" t="n"/>
      <c r="B583" s="19" t="n"/>
      <c r="C583" s="19" t="n"/>
      <c r="D583" s="19" t="n"/>
      <c r="E583" s="20" t="n"/>
      <c r="F583" s="20" t="n"/>
      <c r="G583" s="19" t="n"/>
      <c r="H583" s="21">
        <f>IF(A583="","",YEAR(A583)*100+MONTH(A583))</f>
        <v/>
      </c>
    </row>
    <row r="584">
      <c r="A584" s="18" t="n"/>
      <c r="B584" s="19" t="n"/>
      <c r="C584" s="19" t="n"/>
      <c r="D584" s="19" t="n"/>
      <c r="E584" s="20" t="n"/>
      <c r="F584" s="20" t="n"/>
      <c r="G584" s="19" t="n"/>
      <c r="H584" s="21">
        <f>IF(A584="","",YEAR(A584)*100+MONTH(A584))</f>
        <v/>
      </c>
    </row>
    <row r="585">
      <c r="A585" s="18" t="n"/>
      <c r="B585" s="19" t="n"/>
      <c r="C585" s="19" t="n"/>
      <c r="D585" s="19" t="n"/>
      <c r="E585" s="20" t="n"/>
      <c r="F585" s="20" t="n"/>
      <c r="G585" s="19" t="n"/>
      <c r="H585" s="21">
        <f>IF(A585="","",YEAR(A585)*100+MONTH(A585))</f>
        <v/>
      </c>
    </row>
    <row r="586">
      <c r="A586" s="18" t="n"/>
      <c r="B586" s="19" t="n"/>
      <c r="C586" s="19" t="n"/>
      <c r="D586" s="19" t="n"/>
      <c r="E586" s="20" t="n"/>
      <c r="F586" s="20" t="n"/>
      <c r="G586" s="19" t="n"/>
      <c r="H586" s="21">
        <f>IF(A586="","",YEAR(A586)*100+MONTH(A586))</f>
        <v/>
      </c>
    </row>
    <row r="587">
      <c r="A587" s="18" t="n"/>
      <c r="B587" s="19" t="n"/>
      <c r="C587" s="19" t="n"/>
      <c r="D587" s="19" t="n"/>
      <c r="E587" s="20" t="n"/>
      <c r="F587" s="20" t="n"/>
      <c r="G587" s="19" t="n"/>
      <c r="H587" s="21">
        <f>IF(A587="","",YEAR(A587)*100+MONTH(A587))</f>
        <v/>
      </c>
    </row>
    <row r="588">
      <c r="A588" s="18" t="n"/>
      <c r="B588" s="19" t="n"/>
      <c r="C588" s="19" t="n"/>
      <c r="D588" s="19" t="n"/>
      <c r="E588" s="20" t="n"/>
      <c r="F588" s="20" t="n"/>
      <c r="G588" s="19" t="n"/>
      <c r="H588" s="21">
        <f>IF(A588="","",YEAR(A588)*100+MONTH(A588))</f>
        <v/>
      </c>
    </row>
    <row r="589">
      <c r="A589" s="18" t="n"/>
      <c r="B589" s="19" t="n"/>
      <c r="C589" s="19" t="n"/>
      <c r="D589" s="19" t="n"/>
      <c r="E589" s="20" t="n"/>
      <c r="F589" s="20" t="n"/>
      <c r="G589" s="19" t="n"/>
      <c r="H589" s="21">
        <f>IF(A589="","",YEAR(A589)*100+MONTH(A589))</f>
        <v/>
      </c>
    </row>
    <row r="590">
      <c r="A590" s="18" t="n"/>
      <c r="B590" s="19" t="n"/>
      <c r="C590" s="19" t="n"/>
      <c r="D590" s="19" t="n"/>
      <c r="E590" s="20" t="n"/>
      <c r="F590" s="20" t="n"/>
      <c r="G590" s="19" t="n"/>
      <c r="H590" s="21">
        <f>IF(A590="","",YEAR(A590)*100+MONTH(A590))</f>
        <v/>
      </c>
    </row>
    <row r="591">
      <c r="A591" s="18" t="n"/>
      <c r="B591" s="19" t="n"/>
      <c r="C591" s="19" t="n"/>
      <c r="D591" s="19" t="n"/>
      <c r="E591" s="20" t="n"/>
      <c r="F591" s="20" t="n"/>
      <c r="G591" s="19" t="n"/>
      <c r="H591" s="21">
        <f>IF(A591="","",YEAR(A591)*100+MONTH(A591))</f>
        <v/>
      </c>
    </row>
    <row r="592">
      <c r="A592" s="18" t="n"/>
      <c r="B592" s="19" t="n"/>
      <c r="C592" s="19" t="n"/>
      <c r="D592" s="19" t="n"/>
      <c r="E592" s="20" t="n"/>
      <c r="F592" s="20" t="n"/>
      <c r="G592" s="19" t="n"/>
      <c r="H592" s="21">
        <f>IF(A592="","",YEAR(A592)*100+MONTH(A592))</f>
        <v/>
      </c>
    </row>
    <row r="593">
      <c r="A593" s="18" t="n"/>
      <c r="B593" s="19" t="n"/>
      <c r="C593" s="19" t="n"/>
      <c r="D593" s="19" t="n"/>
      <c r="E593" s="20" t="n"/>
      <c r="F593" s="20" t="n"/>
      <c r="G593" s="19" t="n"/>
      <c r="H593" s="21">
        <f>IF(A593="","",YEAR(A593)*100+MONTH(A593))</f>
        <v/>
      </c>
    </row>
    <row r="594">
      <c r="A594" s="18" t="n"/>
      <c r="B594" s="19" t="n"/>
      <c r="C594" s="19" t="n"/>
      <c r="D594" s="19" t="n"/>
      <c r="E594" s="20" t="n"/>
      <c r="F594" s="20" t="n"/>
      <c r="G594" s="19" t="n"/>
      <c r="H594" s="21">
        <f>IF(A594="","",YEAR(A594)*100+MONTH(A594))</f>
        <v/>
      </c>
    </row>
    <row r="595">
      <c r="A595" s="18" t="n"/>
      <c r="B595" s="19" t="n"/>
      <c r="C595" s="19" t="n"/>
      <c r="D595" s="19" t="n"/>
      <c r="E595" s="20" t="n"/>
      <c r="F595" s="20" t="n"/>
      <c r="G595" s="19" t="n"/>
      <c r="H595" s="21">
        <f>IF(A595="","",YEAR(A595)*100+MONTH(A595))</f>
        <v/>
      </c>
    </row>
    <row r="596">
      <c r="A596" s="18" t="n"/>
      <c r="B596" s="19" t="n"/>
      <c r="C596" s="19" t="n"/>
      <c r="D596" s="19" t="n"/>
      <c r="E596" s="20" t="n"/>
      <c r="F596" s="20" t="n"/>
      <c r="G596" s="19" t="n"/>
      <c r="H596" s="21">
        <f>IF(A596="","",YEAR(A596)*100+MONTH(A596))</f>
        <v/>
      </c>
    </row>
    <row r="597">
      <c r="A597" s="18" t="n"/>
      <c r="B597" s="19" t="n"/>
      <c r="C597" s="19" t="n"/>
      <c r="D597" s="19" t="n"/>
      <c r="E597" s="20" t="n"/>
      <c r="F597" s="20" t="n"/>
      <c r="G597" s="19" t="n"/>
      <c r="H597" s="21">
        <f>IF(A597="","",YEAR(A597)*100+MONTH(A597))</f>
        <v/>
      </c>
    </row>
    <row r="598">
      <c r="A598" s="18" t="n"/>
      <c r="B598" s="19" t="n"/>
      <c r="C598" s="19" t="n"/>
      <c r="D598" s="19" t="n"/>
      <c r="E598" s="20" t="n"/>
      <c r="F598" s="20" t="n"/>
      <c r="G598" s="19" t="n"/>
      <c r="H598" s="21">
        <f>IF(A598="","",YEAR(A598)*100+MONTH(A598))</f>
        <v/>
      </c>
    </row>
    <row r="599">
      <c r="A599" s="18" t="n"/>
      <c r="B599" s="19" t="n"/>
      <c r="C599" s="19" t="n"/>
      <c r="D599" s="19" t="n"/>
      <c r="E599" s="20" t="n"/>
      <c r="F599" s="20" t="n"/>
      <c r="G599" s="19" t="n"/>
      <c r="H599" s="21">
        <f>IF(A599="","",YEAR(A599)*100+MONTH(A599))</f>
        <v/>
      </c>
    </row>
    <row r="600">
      <c r="A600" s="18" t="n"/>
      <c r="B600" s="19" t="n"/>
      <c r="C600" s="19" t="n"/>
      <c r="D600" s="19" t="n"/>
      <c r="E600" s="20" t="n"/>
      <c r="F600" s="20" t="n"/>
      <c r="G600" s="19" t="n"/>
      <c r="H600" s="21">
        <f>IF(A600="","",YEAR(A600)*100+MONTH(A600))</f>
        <v/>
      </c>
    </row>
    <row r="601">
      <c r="A601" s="18" t="n"/>
      <c r="B601" s="19" t="n"/>
      <c r="C601" s="19" t="n"/>
      <c r="D601" s="19" t="n"/>
      <c r="E601" s="20" t="n"/>
      <c r="F601" s="20" t="n"/>
      <c r="G601" s="19" t="n"/>
      <c r="H601" s="21">
        <f>IF(A601="","",YEAR(A601)*100+MONTH(A601))</f>
        <v/>
      </c>
    </row>
    <row r="602">
      <c r="A602" s="18" t="n"/>
      <c r="B602" s="19" t="n"/>
      <c r="C602" s="19" t="n"/>
      <c r="D602" s="19" t="n"/>
      <c r="E602" s="20" t="n"/>
      <c r="F602" s="20" t="n"/>
      <c r="G602" s="19" t="n"/>
      <c r="H602" s="21">
        <f>IF(A602="","",YEAR(A602)*100+MONTH(A602))</f>
        <v/>
      </c>
    </row>
    <row r="603">
      <c r="A603" s="18" t="n"/>
      <c r="B603" s="19" t="n"/>
      <c r="C603" s="19" t="n"/>
      <c r="D603" s="19" t="n"/>
      <c r="E603" s="20" t="n"/>
      <c r="F603" s="20" t="n"/>
      <c r="G603" s="19" t="n"/>
      <c r="H603" s="21">
        <f>IF(A603="","",YEAR(A603)*100+MONTH(A603))</f>
        <v/>
      </c>
    </row>
    <row r="604">
      <c r="A604" s="18" t="n"/>
      <c r="B604" s="19" t="n"/>
      <c r="C604" s="19" t="n"/>
      <c r="D604" s="19" t="n"/>
      <c r="E604" s="20" t="n"/>
      <c r="F604" s="20" t="n"/>
      <c r="G604" s="19" t="n"/>
      <c r="H604" s="21">
        <f>IF(A604="","",YEAR(A604)*100+MONTH(A604))</f>
        <v/>
      </c>
    </row>
    <row r="605">
      <c r="A605" s="18" t="n"/>
      <c r="B605" s="19" t="n"/>
      <c r="C605" s="19" t="n"/>
      <c r="D605" s="19" t="n"/>
      <c r="E605" s="20" t="n"/>
      <c r="F605" s="20" t="n"/>
      <c r="G605" s="19" t="n"/>
      <c r="H605" s="21">
        <f>IF(A605="","",YEAR(A605)*100+MONTH(A605))</f>
        <v/>
      </c>
    </row>
    <row r="606">
      <c r="A606" s="18" t="n"/>
      <c r="B606" s="19" t="n"/>
      <c r="C606" s="19" t="n"/>
      <c r="D606" s="19" t="n"/>
      <c r="E606" s="20" t="n"/>
      <c r="F606" s="20" t="n"/>
      <c r="G606" s="19" t="n"/>
      <c r="H606" s="21">
        <f>IF(A606="","",YEAR(A606)*100+MONTH(A606))</f>
        <v/>
      </c>
    </row>
    <row r="607">
      <c r="A607" s="18" t="n"/>
      <c r="B607" s="19" t="n"/>
      <c r="C607" s="19" t="n"/>
      <c r="D607" s="19" t="n"/>
      <c r="E607" s="20" t="n"/>
      <c r="F607" s="20" t="n"/>
      <c r="G607" s="19" t="n"/>
      <c r="H607" s="21">
        <f>IF(A607="","",YEAR(A607)*100+MONTH(A607))</f>
        <v/>
      </c>
    </row>
    <row r="608">
      <c r="A608" s="18" t="n"/>
      <c r="B608" s="19" t="n"/>
      <c r="C608" s="19" t="n"/>
      <c r="D608" s="19" t="n"/>
      <c r="E608" s="20" t="n"/>
      <c r="F608" s="20" t="n"/>
      <c r="G608" s="19" t="n"/>
      <c r="H608" s="21">
        <f>IF(A608="","",YEAR(A608)*100+MONTH(A608))</f>
        <v/>
      </c>
    </row>
    <row r="609">
      <c r="A609" s="18" t="n"/>
      <c r="B609" s="19" t="n"/>
      <c r="C609" s="19" t="n"/>
      <c r="D609" s="19" t="n"/>
      <c r="E609" s="20" t="n"/>
      <c r="F609" s="20" t="n"/>
      <c r="G609" s="19" t="n"/>
      <c r="H609" s="21">
        <f>IF(A609="","",YEAR(A609)*100+MONTH(A609))</f>
        <v/>
      </c>
    </row>
    <row r="610">
      <c r="A610" s="18" t="n"/>
      <c r="B610" s="19" t="n"/>
      <c r="C610" s="19" t="n"/>
      <c r="D610" s="19" t="n"/>
      <c r="E610" s="20" t="n"/>
      <c r="F610" s="20" t="n"/>
      <c r="G610" s="19" t="n"/>
      <c r="H610" s="21">
        <f>IF(A610="","",YEAR(A610)*100+MONTH(A610))</f>
        <v/>
      </c>
    </row>
    <row r="611">
      <c r="A611" s="18" t="n"/>
      <c r="B611" s="19" t="n"/>
      <c r="C611" s="19" t="n"/>
      <c r="D611" s="19" t="n"/>
      <c r="E611" s="20" t="n"/>
      <c r="F611" s="20" t="n"/>
      <c r="G611" s="19" t="n"/>
      <c r="H611" s="21">
        <f>IF(A611="","",YEAR(A611)*100+MONTH(A611))</f>
        <v/>
      </c>
    </row>
    <row r="612">
      <c r="A612" s="18" t="n"/>
      <c r="B612" s="19" t="n"/>
      <c r="C612" s="19" t="n"/>
      <c r="D612" s="19" t="n"/>
      <c r="E612" s="20" t="n"/>
      <c r="F612" s="20" t="n"/>
      <c r="G612" s="19" t="n"/>
      <c r="H612" s="21">
        <f>IF(A612="","",YEAR(A612)*100+MONTH(A612))</f>
        <v/>
      </c>
    </row>
    <row r="613">
      <c r="A613" s="18" t="n"/>
      <c r="B613" s="19" t="n"/>
      <c r="C613" s="19" t="n"/>
      <c r="D613" s="19" t="n"/>
      <c r="E613" s="20" t="n"/>
      <c r="F613" s="20" t="n"/>
      <c r="G613" s="19" t="n"/>
      <c r="H613" s="21">
        <f>IF(A613="","",YEAR(A613)*100+MONTH(A613))</f>
        <v/>
      </c>
    </row>
    <row r="614">
      <c r="A614" s="18" t="n"/>
      <c r="B614" s="19" t="n"/>
      <c r="C614" s="19" t="n"/>
      <c r="D614" s="19" t="n"/>
      <c r="E614" s="20" t="n"/>
      <c r="F614" s="20" t="n"/>
      <c r="G614" s="19" t="n"/>
      <c r="H614" s="21">
        <f>IF(A614="","",YEAR(A614)*100+MONTH(A614))</f>
        <v/>
      </c>
    </row>
    <row r="615">
      <c r="A615" s="18" t="n"/>
      <c r="B615" s="19" t="n"/>
      <c r="C615" s="19" t="n"/>
      <c r="D615" s="19" t="n"/>
      <c r="E615" s="20" t="n"/>
      <c r="F615" s="20" t="n"/>
      <c r="G615" s="19" t="n"/>
      <c r="H615" s="21">
        <f>IF(A615="","",YEAR(A615)*100+MONTH(A615))</f>
        <v/>
      </c>
    </row>
    <row r="616">
      <c r="A616" s="18" t="n"/>
      <c r="B616" s="19" t="n"/>
      <c r="C616" s="19" t="n"/>
      <c r="D616" s="19" t="n"/>
      <c r="E616" s="20" t="n"/>
      <c r="F616" s="20" t="n"/>
      <c r="G616" s="19" t="n"/>
      <c r="H616" s="21">
        <f>IF(A616="","",YEAR(A616)*100+MONTH(A616))</f>
        <v/>
      </c>
    </row>
    <row r="617">
      <c r="A617" s="18" t="n"/>
      <c r="B617" s="19" t="n"/>
      <c r="C617" s="19" t="n"/>
      <c r="D617" s="19" t="n"/>
      <c r="E617" s="20" t="n"/>
      <c r="F617" s="20" t="n"/>
      <c r="G617" s="19" t="n"/>
      <c r="H617" s="21">
        <f>IF(A617="","",YEAR(A617)*100+MONTH(A617))</f>
        <v/>
      </c>
    </row>
    <row r="618">
      <c r="A618" s="18" t="n"/>
      <c r="B618" s="19" t="n"/>
      <c r="C618" s="19" t="n"/>
      <c r="D618" s="19" t="n"/>
      <c r="E618" s="20" t="n"/>
      <c r="F618" s="20" t="n"/>
      <c r="G618" s="19" t="n"/>
      <c r="H618" s="21">
        <f>IF(A618="","",YEAR(A618)*100+MONTH(A618))</f>
        <v/>
      </c>
    </row>
    <row r="619">
      <c r="A619" s="18" t="n"/>
      <c r="B619" s="19" t="n"/>
      <c r="C619" s="19" t="n"/>
      <c r="D619" s="19" t="n"/>
      <c r="E619" s="20" t="n"/>
      <c r="F619" s="20" t="n"/>
      <c r="G619" s="19" t="n"/>
      <c r="H619" s="21">
        <f>IF(A619="","",YEAR(A619)*100+MONTH(A619))</f>
        <v/>
      </c>
    </row>
    <row r="620">
      <c r="A620" s="18" t="n"/>
      <c r="B620" s="19" t="n"/>
      <c r="C620" s="19" t="n"/>
      <c r="D620" s="19" t="n"/>
      <c r="E620" s="20" t="n"/>
      <c r="F620" s="20" t="n"/>
      <c r="G620" s="19" t="n"/>
      <c r="H620" s="21">
        <f>IF(A620="","",YEAR(A620)*100+MONTH(A620))</f>
        <v/>
      </c>
    </row>
    <row r="621">
      <c r="A621" s="18" t="n"/>
      <c r="B621" s="19" t="n"/>
      <c r="C621" s="19" t="n"/>
      <c r="D621" s="19" t="n"/>
      <c r="E621" s="20" t="n"/>
      <c r="F621" s="20" t="n"/>
      <c r="G621" s="19" t="n"/>
      <c r="H621" s="21">
        <f>IF(A621="","",YEAR(A621)*100+MONTH(A621))</f>
        <v/>
      </c>
    </row>
    <row r="622">
      <c r="A622" s="18" t="n"/>
      <c r="B622" s="19" t="n"/>
      <c r="C622" s="19" t="n"/>
      <c r="D622" s="19" t="n"/>
      <c r="E622" s="20" t="n"/>
      <c r="F622" s="20" t="n"/>
      <c r="G622" s="19" t="n"/>
      <c r="H622" s="21">
        <f>IF(A622="","",YEAR(A622)*100+MONTH(A622))</f>
        <v/>
      </c>
    </row>
    <row r="623">
      <c r="A623" s="18" t="n"/>
      <c r="B623" s="19" t="n"/>
      <c r="C623" s="19" t="n"/>
      <c r="D623" s="19" t="n"/>
      <c r="E623" s="20" t="n"/>
      <c r="F623" s="20" t="n"/>
      <c r="G623" s="19" t="n"/>
      <c r="H623" s="21">
        <f>IF(A623="","",YEAR(A623)*100+MONTH(A623))</f>
        <v/>
      </c>
    </row>
    <row r="624">
      <c r="A624" s="18" t="n"/>
      <c r="B624" s="19" t="n"/>
      <c r="C624" s="19" t="n"/>
      <c r="D624" s="19" t="n"/>
      <c r="E624" s="20" t="n"/>
      <c r="F624" s="20" t="n"/>
      <c r="G624" s="19" t="n"/>
      <c r="H624" s="21">
        <f>IF(A624="","",YEAR(A624)*100+MONTH(A624))</f>
        <v/>
      </c>
    </row>
    <row r="625">
      <c r="A625" s="18" t="n"/>
      <c r="B625" s="19" t="n"/>
      <c r="C625" s="19" t="n"/>
      <c r="D625" s="19" t="n"/>
      <c r="E625" s="20" t="n"/>
      <c r="F625" s="20" t="n"/>
      <c r="G625" s="19" t="n"/>
      <c r="H625" s="21">
        <f>IF(A625="","",YEAR(A625)*100+MONTH(A625))</f>
        <v/>
      </c>
    </row>
    <row r="626">
      <c r="A626" s="18" t="n"/>
      <c r="B626" s="19" t="n"/>
      <c r="C626" s="19" t="n"/>
      <c r="D626" s="19" t="n"/>
      <c r="E626" s="20" t="n"/>
      <c r="F626" s="20" t="n"/>
      <c r="G626" s="19" t="n"/>
      <c r="H626" s="21">
        <f>IF(A626="","",YEAR(A626)*100+MONTH(A626))</f>
        <v/>
      </c>
    </row>
    <row r="627">
      <c r="A627" s="18" t="n"/>
      <c r="B627" s="19" t="n"/>
      <c r="C627" s="19" t="n"/>
      <c r="D627" s="19" t="n"/>
      <c r="E627" s="20" t="n"/>
      <c r="F627" s="20" t="n"/>
      <c r="G627" s="19" t="n"/>
      <c r="H627" s="21">
        <f>IF(A627="","",YEAR(A627)*100+MONTH(A627))</f>
        <v/>
      </c>
    </row>
    <row r="628">
      <c r="A628" s="18" t="n"/>
      <c r="B628" s="19" t="n"/>
      <c r="C628" s="19" t="n"/>
      <c r="D628" s="19" t="n"/>
      <c r="E628" s="20" t="n"/>
      <c r="F628" s="20" t="n"/>
      <c r="G628" s="19" t="n"/>
      <c r="H628" s="21">
        <f>IF(A628="","",YEAR(A628)*100+MONTH(A628))</f>
        <v/>
      </c>
    </row>
    <row r="629">
      <c r="A629" s="18" t="n"/>
      <c r="B629" s="19" t="n"/>
      <c r="C629" s="19" t="n"/>
      <c r="D629" s="19" t="n"/>
      <c r="E629" s="20" t="n"/>
      <c r="F629" s="20" t="n"/>
      <c r="G629" s="19" t="n"/>
      <c r="H629" s="21">
        <f>IF(A629="","",YEAR(A629)*100+MONTH(A629))</f>
        <v/>
      </c>
    </row>
    <row r="630">
      <c r="A630" s="18" t="n"/>
      <c r="B630" s="19" t="n"/>
      <c r="C630" s="19" t="n"/>
      <c r="D630" s="19" t="n"/>
      <c r="E630" s="20" t="n"/>
      <c r="F630" s="20" t="n"/>
      <c r="G630" s="19" t="n"/>
      <c r="H630" s="21">
        <f>IF(A630="","",YEAR(A630)*100+MONTH(A630))</f>
        <v/>
      </c>
    </row>
    <row r="631">
      <c r="A631" s="18" t="n"/>
      <c r="B631" s="19" t="n"/>
      <c r="C631" s="19" t="n"/>
      <c r="D631" s="19" t="n"/>
      <c r="E631" s="20" t="n"/>
      <c r="F631" s="20" t="n"/>
      <c r="G631" s="19" t="n"/>
      <c r="H631" s="21">
        <f>IF(A631="","",YEAR(A631)*100+MONTH(A631))</f>
        <v/>
      </c>
    </row>
    <row r="632">
      <c r="A632" s="18" t="n"/>
      <c r="B632" s="19" t="n"/>
      <c r="C632" s="19" t="n"/>
      <c r="D632" s="19" t="n"/>
      <c r="E632" s="20" t="n"/>
      <c r="F632" s="20" t="n"/>
      <c r="G632" s="19" t="n"/>
      <c r="H632" s="21">
        <f>IF(A632="","",YEAR(A632)*100+MONTH(A632))</f>
        <v/>
      </c>
    </row>
    <row r="633">
      <c r="A633" s="18" t="n"/>
      <c r="B633" s="19" t="n"/>
      <c r="C633" s="19" t="n"/>
      <c r="D633" s="19" t="n"/>
      <c r="E633" s="20" t="n"/>
      <c r="F633" s="20" t="n"/>
      <c r="G633" s="19" t="n"/>
      <c r="H633" s="21">
        <f>IF(A633="","",YEAR(A633)*100+MONTH(A633))</f>
        <v/>
      </c>
    </row>
    <row r="634">
      <c r="A634" s="18" t="n"/>
      <c r="B634" s="19" t="n"/>
      <c r="C634" s="19" t="n"/>
      <c r="D634" s="19" t="n"/>
      <c r="E634" s="20" t="n"/>
      <c r="F634" s="20" t="n"/>
      <c r="G634" s="19" t="n"/>
      <c r="H634" s="21">
        <f>IF(A634="","",YEAR(A634)*100+MONTH(A634))</f>
        <v/>
      </c>
    </row>
    <row r="635">
      <c r="A635" s="18" t="n"/>
      <c r="B635" s="19" t="n"/>
      <c r="C635" s="19" t="n"/>
      <c r="D635" s="19" t="n"/>
      <c r="E635" s="20" t="n"/>
      <c r="F635" s="20" t="n"/>
      <c r="G635" s="19" t="n"/>
      <c r="H635" s="21">
        <f>IF(A635="","",YEAR(A635)*100+MONTH(A635))</f>
        <v/>
      </c>
    </row>
    <row r="636">
      <c r="A636" s="18" t="n"/>
      <c r="B636" s="19" t="n"/>
      <c r="C636" s="19" t="n"/>
      <c r="D636" s="19" t="n"/>
      <c r="E636" s="20" t="n"/>
      <c r="F636" s="20" t="n"/>
      <c r="G636" s="19" t="n"/>
      <c r="H636" s="21">
        <f>IF(A636="","",YEAR(A636)*100+MONTH(A636))</f>
        <v/>
      </c>
    </row>
    <row r="637">
      <c r="A637" s="18" t="n"/>
      <c r="B637" s="19" t="n"/>
      <c r="C637" s="19" t="n"/>
      <c r="D637" s="19" t="n"/>
      <c r="E637" s="20" t="n"/>
      <c r="F637" s="20" t="n"/>
      <c r="G637" s="19" t="n"/>
      <c r="H637" s="21">
        <f>IF(A637="","",YEAR(A637)*100+MONTH(A637))</f>
        <v/>
      </c>
    </row>
    <row r="638">
      <c r="A638" s="18" t="n"/>
      <c r="B638" s="19" t="n"/>
      <c r="C638" s="19" t="n"/>
      <c r="D638" s="19" t="n"/>
      <c r="E638" s="20" t="n"/>
      <c r="F638" s="20" t="n"/>
      <c r="G638" s="19" t="n"/>
      <c r="H638" s="21">
        <f>IF(A638="","",YEAR(A638)*100+MONTH(A638))</f>
        <v/>
      </c>
    </row>
    <row r="639">
      <c r="A639" s="18" t="n"/>
      <c r="B639" s="19" t="n"/>
      <c r="C639" s="19" t="n"/>
      <c r="D639" s="19" t="n"/>
      <c r="E639" s="20" t="n"/>
      <c r="F639" s="20" t="n"/>
      <c r="G639" s="19" t="n"/>
      <c r="H639" s="21">
        <f>IF(A639="","",YEAR(A639)*100+MONTH(A639))</f>
        <v/>
      </c>
    </row>
    <row r="640">
      <c r="A640" s="18" t="n"/>
      <c r="B640" s="19" t="n"/>
      <c r="C640" s="19" t="n"/>
      <c r="D640" s="19" t="n"/>
      <c r="E640" s="20" t="n"/>
      <c r="F640" s="20" t="n"/>
      <c r="G640" s="19" t="n"/>
      <c r="H640" s="21">
        <f>IF(A640="","",YEAR(A640)*100+MONTH(A640))</f>
        <v/>
      </c>
    </row>
    <row r="641">
      <c r="A641" s="18" t="n"/>
      <c r="B641" s="19" t="n"/>
      <c r="C641" s="19" t="n"/>
      <c r="D641" s="19" t="n"/>
      <c r="E641" s="20" t="n"/>
      <c r="F641" s="20" t="n"/>
      <c r="G641" s="19" t="n"/>
      <c r="H641" s="21">
        <f>IF(A641="","",YEAR(A641)*100+MONTH(A641))</f>
        <v/>
      </c>
    </row>
    <row r="642">
      <c r="A642" s="18" t="n"/>
      <c r="B642" s="19" t="n"/>
      <c r="C642" s="19" t="n"/>
      <c r="D642" s="19" t="n"/>
      <c r="E642" s="20" t="n"/>
      <c r="F642" s="20" t="n"/>
      <c r="G642" s="19" t="n"/>
      <c r="H642" s="21">
        <f>IF(A642="","",YEAR(A642)*100+MONTH(A642))</f>
        <v/>
      </c>
    </row>
    <row r="643">
      <c r="A643" s="18" t="n"/>
      <c r="B643" s="19" t="n"/>
      <c r="C643" s="19" t="n"/>
      <c r="D643" s="19" t="n"/>
      <c r="E643" s="20" t="n"/>
      <c r="F643" s="20" t="n"/>
      <c r="G643" s="19" t="n"/>
      <c r="H643" s="21">
        <f>IF(A643="","",YEAR(A643)*100+MONTH(A643))</f>
        <v/>
      </c>
    </row>
    <row r="644">
      <c r="A644" s="18" t="n"/>
      <c r="B644" s="19" t="n"/>
      <c r="C644" s="19" t="n"/>
      <c r="D644" s="19" t="n"/>
      <c r="E644" s="20" t="n"/>
      <c r="F644" s="20" t="n"/>
      <c r="G644" s="19" t="n"/>
      <c r="H644" s="21">
        <f>IF(A644="","",YEAR(A644)*100+MONTH(A644))</f>
        <v/>
      </c>
    </row>
    <row r="645">
      <c r="A645" s="18" t="n"/>
      <c r="B645" s="19" t="n"/>
      <c r="C645" s="19" t="n"/>
      <c r="D645" s="19" t="n"/>
      <c r="E645" s="20" t="n"/>
      <c r="F645" s="20" t="n"/>
      <c r="G645" s="19" t="n"/>
      <c r="H645" s="21">
        <f>IF(A645="","",YEAR(A645)*100+MONTH(A645))</f>
        <v/>
      </c>
    </row>
    <row r="646">
      <c r="A646" s="18" t="n"/>
      <c r="B646" s="19" t="n"/>
      <c r="C646" s="19" t="n"/>
      <c r="D646" s="19" t="n"/>
      <c r="E646" s="20" t="n"/>
      <c r="F646" s="20" t="n"/>
      <c r="G646" s="19" t="n"/>
      <c r="H646" s="21">
        <f>IF(A646="","",YEAR(A646)*100+MONTH(A646))</f>
        <v/>
      </c>
    </row>
    <row r="647">
      <c r="A647" s="18" t="n"/>
      <c r="B647" s="19" t="n"/>
      <c r="C647" s="19" t="n"/>
      <c r="D647" s="19" t="n"/>
      <c r="E647" s="20" t="n"/>
      <c r="F647" s="20" t="n"/>
      <c r="G647" s="19" t="n"/>
      <c r="H647" s="21">
        <f>IF(A647="","",YEAR(A647)*100+MONTH(A647))</f>
        <v/>
      </c>
    </row>
    <row r="648">
      <c r="A648" s="18" t="n"/>
      <c r="B648" s="19" t="n"/>
      <c r="C648" s="19" t="n"/>
      <c r="D648" s="19" t="n"/>
      <c r="E648" s="20" t="n"/>
      <c r="F648" s="20" t="n"/>
      <c r="G648" s="19" t="n"/>
      <c r="H648" s="21">
        <f>IF(A648="","",YEAR(A648)*100+MONTH(A648))</f>
        <v/>
      </c>
    </row>
    <row r="649">
      <c r="A649" s="18" t="n"/>
      <c r="B649" s="19" t="n"/>
      <c r="C649" s="19" t="n"/>
      <c r="D649" s="19" t="n"/>
      <c r="E649" s="20" t="n"/>
      <c r="F649" s="20" t="n"/>
      <c r="G649" s="19" t="n"/>
      <c r="H649" s="21">
        <f>IF(A649="","",YEAR(A649)*100+MONTH(A649))</f>
        <v/>
      </c>
    </row>
    <row r="650">
      <c r="A650" s="18" t="n"/>
      <c r="B650" s="19" t="n"/>
      <c r="C650" s="19" t="n"/>
      <c r="D650" s="19" t="n"/>
      <c r="E650" s="20" t="n"/>
      <c r="F650" s="20" t="n"/>
      <c r="G650" s="19" t="n"/>
      <c r="H650" s="21">
        <f>IF(A650="","",YEAR(A650)*100+MONTH(A650))</f>
        <v/>
      </c>
    </row>
    <row r="651">
      <c r="A651" s="18" t="n"/>
      <c r="B651" s="19" t="n"/>
      <c r="C651" s="19" t="n"/>
      <c r="D651" s="19" t="n"/>
      <c r="E651" s="20" t="n"/>
      <c r="F651" s="20" t="n"/>
      <c r="G651" s="19" t="n"/>
      <c r="H651" s="21">
        <f>IF(A651="","",YEAR(A651)*100+MONTH(A651))</f>
        <v/>
      </c>
    </row>
    <row r="652">
      <c r="A652" s="18" t="n"/>
      <c r="B652" s="19" t="n"/>
      <c r="C652" s="19" t="n"/>
      <c r="D652" s="19" t="n"/>
      <c r="E652" s="20" t="n"/>
      <c r="F652" s="20" t="n"/>
      <c r="G652" s="19" t="n"/>
      <c r="H652" s="21">
        <f>IF(A652="","",YEAR(A652)*100+MONTH(A652))</f>
        <v/>
      </c>
    </row>
    <row r="653">
      <c r="A653" s="18" t="n"/>
      <c r="B653" s="19" t="n"/>
      <c r="C653" s="19" t="n"/>
      <c r="D653" s="19" t="n"/>
      <c r="E653" s="20" t="n"/>
      <c r="F653" s="20" t="n"/>
      <c r="G653" s="19" t="n"/>
      <c r="H653" s="21">
        <f>IF(A653="","",YEAR(A653)*100+MONTH(A653))</f>
        <v/>
      </c>
    </row>
    <row r="654">
      <c r="A654" s="18" t="n"/>
      <c r="B654" s="19" t="n"/>
      <c r="C654" s="19" t="n"/>
      <c r="D654" s="19" t="n"/>
      <c r="E654" s="20" t="n"/>
      <c r="F654" s="20" t="n"/>
      <c r="G654" s="19" t="n"/>
      <c r="H654" s="21">
        <f>IF(A654="","",YEAR(A654)*100+MONTH(A654))</f>
        <v/>
      </c>
    </row>
    <row r="655">
      <c r="A655" s="18" t="n"/>
      <c r="B655" s="19" t="n"/>
      <c r="C655" s="19" t="n"/>
      <c r="D655" s="19" t="n"/>
      <c r="E655" s="20" t="n"/>
      <c r="F655" s="20" t="n"/>
      <c r="G655" s="19" t="n"/>
      <c r="H655" s="21">
        <f>IF(A655="","",YEAR(A655)*100+MONTH(A655))</f>
        <v/>
      </c>
    </row>
    <row r="656">
      <c r="A656" s="18" t="n"/>
      <c r="B656" s="19" t="n"/>
      <c r="C656" s="19" t="n"/>
      <c r="D656" s="19" t="n"/>
      <c r="E656" s="20" t="n"/>
      <c r="F656" s="20" t="n"/>
      <c r="G656" s="19" t="n"/>
      <c r="H656" s="21">
        <f>IF(A656="","",YEAR(A656)*100+MONTH(A656))</f>
        <v/>
      </c>
    </row>
    <row r="657">
      <c r="A657" s="18" t="n"/>
      <c r="B657" s="19" t="n"/>
      <c r="C657" s="19" t="n"/>
      <c r="D657" s="19" t="n"/>
      <c r="E657" s="20" t="n"/>
      <c r="F657" s="20" t="n"/>
      <c r="G657" s="19" t="n"/>
      <c r="H657" s="21">
        <f>IF(A657="","",YEAR(A657)*100+MONTH(A657))</f>
        <v/>
      </c>
    </row>
    <row r="658">
      <c r="A658" s="18" t="n"/>
      <c r="B658" s="19" t="n"/>
      <c r="C658" s="19" t="n"/>
      <c r="D658" s="19" t="n"/>
      <c r="E658" s="20" t="n"/>
      <c r="F658" s="20" t="n"/>
      <c r="G658" s="19" t="n"/>
      <c r="H658" s="21">
        <f>IF(A658="","",YEAR(A658)*100+MONTH(A658))</f>
        <v/>
      </c>
    </row>
    <row r="659">
      <c r="A659" s="18" t="n"/>
      <c r="B659" s="19" t="n"/>
      <c r="C659" s="19" t="n"/>
      <c r="D659" s="19" t="n"/>
      <c r="E659" s="20" t="n"/>
      <c r="F659" s="20" t="n"/>
      <c r="G659" s="19" t="n"/>
      <c r="H659" s="21">
        <f>IF(A659="","",YEAR(A659)*100+MONTH(A659))</f>
        <v/>
      </c>
    </row>
    <row r="660">
      <c r="A660" s="18" t="n"/>
      <c r="B660" s="19" t="n"/>
      <c r="C660" s="19" t="n"/>
      <c r="D660" s="19" t="n"/>
      <c r="E660" s="20" t="n"/>
      <c r="F660" s="20" t="n"/>
      <c r="G660" s="19" t="n"/>
      <c r="H660" s="21">
        <f>IF(A660="","",YEAR(A660)*100+MONTH(A660))</f>
        <v/>
      </c>
    </row>
    <row r="661">
      <c r="A661" s="18" t="n"/>
      <c r="B661" s="19" t="n"/>
      <c r="C661" s="19" t="n"/>
      <c r="D661" s="19" t="n"/>
      <c r="E661" s="20" t="n"/>
      <c r="F661" s="20" t="n"/>
      <c r="G661" s="19" t="n"/>
      <c r="H661" s="21">
        <f>IF(A661="","",YEAR(A661)*100+MONTH(A661))</f>
        <v/>
      </c>
    </row>
    <row r="662">
      <c r="A662" s="18" t="n"/>
      <c r="B662" s="19" t="n"/>
      <c r="C662" s="19" t="n"/>
      <c r="D662" s="19" t="n"/>
      <c r="E662" s="20" t="n"/>
      <c r="F662" s="20" t="n"/>
      <c r="G662" s="19" t="n"/>
      <c r="H662" s="21">
        <f>IF(A662="","",YEAR(A662)*100+MONTH(A662))</f>
        <v/>
      </c>
    </row>
    <row r="663">
      <c r="A663" s="18" t="n"/>
      <c r="B663" s="19" t="n"/>
      <c r="C663" s="19" t="n"/>
      <c r="D663" s="19" t="n"/>
      <c r="E663" s="20" t="n"/>
      <c r="F663" s="20" t="n"/>
      <c r="G663" s="19" t="n"/>
      <c r="H663" s="21">
        <f>IF(A663="","",YEAR(A663)*100+MONTH(A663))</f>
        <v/>
      </c>
    </row>
    <row r="664">
      <c r="A664" s="18" t="n"/>
      <c r="B664" s="19" t="n"/>
      <c r="C664" s="19" t="n"/>
      <c r="D664" s="19" t="n"/>
      <c r="E664" s="20" t="n"/>
      <c r="F664" s="20" t="n"/>
      <c r="G664" s="19" t="n"/>
      <c r="H664" s="21">
        <f>IF(A664="","",YEAR(A664)*100+MONTH(A664))</f>
        <v/>
      </c>
    </row>
    <row r="665">
      <c r="A665" s="18" t="n"/>
      <c r="B665" s="19" t="n"/>
      <c r="C665" s="19" t="n"/>
      <c r="D665" s="19" t="n"/>
      <c r="E665" s="20" t="n"/>
      <c r="F665" s="20" t="n"/>
      <c r="G665" s="19" t="n"/>
      <c r="H665" s="21">
        <f>IF(A665="","",YEAR(A665)*100+MONTH(A665))</f>
        <v/>
      </c>
    </row>
    <row r="666">
      <c r="A666" s="18" t="n"/>
      <c r="B666" s="19" t="n"/>
      <c r="C666" s="19" t="n"/>
      <c r="D666" s="19" t="n"/>
      <c r="E666" s="20" t="n"/>
      <c r="F666" s="20" t="n"/>
      <c r="G666" s="19" t="n"/>
      <c r="H666" s="21">
        <f>IF(A666="","",YEAR(A666)*100+MONTH(A666))</f>
        <v/>
      </c>
    </row>
    <row r="667">
      <c r="A667" s="18" t="n"/>
      <c r="B667" s="19" t="n"/>
      <c r="C667" s="19" t="n"/>
      <c r="D667" s="19" t="n"/>
      <c r="E667" s="20" t="n"/>
      <c r="F667" s="20" t="n"/>
      <c r="G667" s="19" t="n"/>
      <c r="H667" s="21">
        <f>IF(A667="","",YEAR(A667)*100+MONTH(A667))</f>
        <v/>
      </c>
    </row>
    <row r="668">
      <c r="A668" s="18" t="n"/>
      <c r="B668" s="19" t="n"/>
      <c r="C668" s="19" t="n"/>
      <c r="D668" s="19" t="n"/>
      <c r="E668" s="20" t="n"/>
      <c r="F668" s="20" t="n"/>
      <c r="G668" s="19" t="n"/>
      <c r="H668" s="21">
        <f>IF(A668="","",YEAR(A668)*100+MONTH(A668))</f>
        <v/>
      </c>
    </row>
    <row r="669">
      <c r="A669" s="18" t="n"/>
      <c r="B669" s="19" t="n"/>
      <c r="C669" s="19" t="n"/>
      <c r="D669" s="19" t="n"/>
      <c r="E669" s="20" t="n"/>
      <c r="F669" s="20" t="n"/>
      <c r="G669" s="19" t="n"/>
      <c r="H669" s="21">
        <f>IF(A669="","",YEAR(A669)*100+MONTH(A669))</f>
        <v/>
      </c>
    </row>
    <row r="670">
      <c r="A670" s="18" t="n"/>
      <c r="B670" s="19" t="n"/>
      <c r="C670" s="19" t="n"/>
      <c r="D670" s="19" t="n"/>
      <c r="E670" s="20" t="n"/>
      <c r="F670" s="20" t="n"/>
      <c r="G670" s="19" t="n"/>
      <c r="H670" s="21">
        <f>IF(A670="","",YEAR(A670)*100+MONTH(A670))</f>
        <v/>
      </c>
    </row>
    <row r="671">
      <c r="A671" s="18" t="n"/>
      <c r="B671" s="19" t="n"/>
      <c r="C671" s="19" t="n"/>
      <c r="D671" s="19" t="n"/>
      <c r="E671" s="20" t="n"/>
      <c r="F671" s="20" t="n"/>
      <c r="G671" s="19" t="n"/>
      <c r="H671" s="21">
        <f>IF(A671="","",YEAR(A671)*100+MONTH(A671))</f>
        <v/>
      </c>
    </row>
    <row r="672">
      <c r="A672" s="18" t="n"/>
      <c r="B672" s="19" t="n"/>
      <c r="C672" s="19" t="n"/>
      <c r="D672" s="19" t="n"/>
      <c r="E672" s="20" t="n"/>
      <c r="F672" s="20" t="n"/>
      <c r="G672" s="19" t="n"/>
      <c r="H672" s="21">
        <f>IF(A672="","",YEAR(A672)*100+MONTH(A672))</f>
        <v/>
      </c>
    </row>
    <row r="673">
      <c r="A673" s="18" t="n"/>
      <c r="B673" s="19" t="n"/>
      <c r="C673" s="19" t="n"/>
      <c r="D673" s="19" t="n"/>
      <c r="E673" s="20" t="n"/>
      <c r="F673" s="20" t="n"/>
      <c r="G673" s="19" t="n"/>
      <c r="H673" s="21">
        <f>IF(A673="","",YEAR(A673)*100+MONTH(A673))</f>
        <v/>
      </c>
    </row>
    <row r="674">
      <c r="A674" s="18" t="n"/>
      <c r="B674" s="19" t="n"/>
      <c r="C674" s="19" t="n"/>
      <c r="D674" s="19" t="n"/>
      <c r="E674" s="20" t="n"/>
      <c r="F674" s="20" t="n"/>
      <c r="G674" s="19" t="n"/>
      <c r="H674" s="21">
        <f>IF(A674="","",YEAR(A674)*100+MONTH(A674))</f>
        <v/>
      </c>
    </row>
    <row r="675">
      <c r="A675" s="18" t="n"/>
      <c r="B675" s="19" t="n"/>
      <c r="C675" s="19" t="n"/>
      <c r="D675" s="19" t="n"/>
      <c r="E675" s="20" t="n"/>
      <c r="F675" s="20" t="n"/>
      <c r="G675" s="19" t="n"/>
      <c r="H675" s="21">
        <f>IF(A675="","",YEAR(A675)*100+MONTH(A675))</f>
        <v/>
      </c>
    </row>
    <row r="676">
      <c r="A676" s="18" t="n"/>
      <c r="B676" s="19" t="n"/>
      <c r="C676" s="19" t="n"/>
      <c r="D676" s="19" t="n"/>
      <c r="E676" s="20" t="n"/>
      <c r="F676" s="20" t="n"/>
      <c r="G676" s="19" t="n"/>
      <c r="H676" s="21">
        <f>IF(A676="","",YEAR(A676)*100+MONTH(A676))</f>
        <v/>
      </c>
    </row>
    <row r="677">
      <c r="A677" s="18" t="n"/>
      <c r="B677" s="19" t="n"/>
      <c r="C677" s="19" t="n"/>
      <c r="D677" s="19" t="n"/>
      <c r="E677" s="20" t="n"/>
      <c r="F677" s="20" t="n"/>
      <c r="G677" s="19" t="n"/>
      <c r="H677" s="21">
        <f>IF(A677="","",YEAR(A677)*100+MONTH(A677))</f>
        <v/>
      </c>
    </row>
    <row r="678">
      <c r="A678" s="18" t="n"/>
      <c r="B678" s="19" t="n"/>
      <c r="C678" s="19" t="n"/>
      <c r="D678" s="19" t="n"/>
      <c r="E678" s="20" t="n"/>
      <c r="F678" s="20" t="n"/>
      <c r="G678" s="19" t="n"/>
      <c r="H678" s="21">
        <f>IF(A678="","",YEAR(A678)*100+MONTH(A678))</f>
        <v/>
      </c>
    </row>
    <row r="679">
      <c r="A679" s="18" t="n"/>
      <c r="B679" s="19" t="n"/>
      <c r="C679" s="19" t="n"/>
      <c r="D679" s="19" t="n"/>
      <c r="E679" s="20" t="n"/>
      <c r="F679" s="20" t="n"/>
      <c r="G679" s="19" t="n"/>
      <c r="H679" s="21">
        <f>IF(A679="","",YEAR(A679)*100+MONTH(A679))</f>
        <v/>
      </c>
    </row>
    <row r="680">
      <c r="A680" s="18" t="n"/>
      <c r="B680" s="19" t="n"/>
      <c r="C680" s="19" t="n"/>
      <c r="D680" s="19" t="n"/>
      <c r="E680" s="20" t="n"/>
      <c r="F680" s="20" t="n"/>
      <c r="G680" s="19" t="n"/>
      <c r="H680" s="21">
        <f>IF(A680="","",YEAR(A680)*100+MONTH(A680))</f>
        <v/>
      </c>
    </row>
    <row r="681">
      <c r="A681" s="18" t="n"/>
      <c r="B681" s="19" t="n"/>
      <c r="C681" s="19" t="n"/>
      <c r="D681" s="19" t="n"/>
      <c r="E681" s="20" t="n"/>
      <c r="F681" s="20" t="n"/>
      <c r="G681" s="19" t="n"/>
      <c r="H681" s="21">
        <f>IF(A681="","",YEAR(A681)*100+MONTH(A681))</f>
        <v/>
      </c>
    </row>
    <row r="682">
      <c r="A682" s="18" t="n"/>
      <c r="B682" s="19" t="n"/>
      <c r="C682" s="19" t="n"/>
      <c r="D682" s="19" t="n"/>
      <c r="E682" s="20" t="n"/>
      <c r="F682" s="20" t="n"/>
      <c r="G682" s="19" t="n"/>
      <c r="H682" s="21">
        <f>IF(A682="","",YEAR(A682)*100+MONTH(A682))</f>
        <v/>
      </c>
    </row>
    <row r="683">
      <c r="A683" s="18" t="n"/>
      <c r="B683" s="19" t="n"/>
      <c r="C683" s="19" t="n"/>
      <c r="D683" s="19" t="n"/>
      <c r="E683" s="20" t="n"/>
      <c r="F683" s="20" t="n"/>
      <c r="G683" s="19" t="n"/>
      <c r="H683" s="21">
        <f>IF(A683="","",YEAR(A683)*100+MONTH(A683))</f>
        <v/>
      </c>
    </row>
    <row r="684">
      <c r="A684" s="18" t="n"/>
      <c r="B684" s="19" t="n"/>
      <c r="C684" s="19" t="n"/>
      <c r="D684" s="19" t="n"/>
      <c r="E684" s="20" t="n"/>
      <c r="F684" s="20" t="n"/>
      <c r="G684" s="19" t="n"/>
      <c r="H684" s="21">
        <f>IF(A684="","",YEAR(A684)*100+MONTH(A684))</f>
        <v/>
      </c>
    </row>
    <row r="685">
      <c r="A685" s="18" t="n"/>
      <c r="B685" s="19" t="n"/>
      <c r="C685" s="19" t="n"/>
      <c r="D685" s="19" t="n"/>
      <c r="E685" s="20" t="n"/>
      <c r="F685" s="20" t="n"/>
      <c r="G685" s="19" t="n"/>
      <c r="H685" s="21">
        <f>IF(A685="","",YEAR(A685)*100+MONTH(A685))</f>
        <v/>
      </c>
    </row>
    <row r="686">
      <c r="A686" s="18" t="n"/>
      <c r="B686" s="19" t="n"/>
      <c r="C686" s="19" t="n"/>
      <c r="D686" s="19" t="n"/>
      <c r="E686" s="20" t="n"/>
      <c r="F686" s="20" t="n"/>
      <c r="G686" s="19" t="n"/>
      <c r="H686" s="21">
        <f>IF(A686="","",YEAR(A686)*100+MONTH(A686))</f>
        <v/>
      </c>
    </row>
    <row r="687">
      <c r="A687" s="18" t="n"/>
      <c r="B687" s="19" t="n"/>
      <c r="C687" s="19" t="n"/>
      <c r="D687" s="19" t="n"/>
      <c r="E687" s="20" t="n"/>
      <c r="F687" s="20" t="n"/>
      <c r="G687" s="19" t="n"/>
      <c r="H687" s="21">
        <f>IF(A687="","",YEAR(A687)*100+MONTH(A687))</f>
        <v/>
      </c>
    </row>
    <row r="688">
      <c r="A688" s="18" t="n"/>
      <c r="B688" s="19" t="n"/>
      <c r="C688" s="19" t="n"/>
      <c r="D688" s="19" t="n"/>
      <c r="E688" s="20" t="n"/>
      <c r="F688" s="20" t="n"/>
      <c r="G688" s="19" t="n"/>
      <c r="H688" s="21">
        <f>IF(A688="","",YEAR(A688)*100+MONTH(A688))</f>
        <v/>
      </c>
    </row>
    <row r="689">
      <c r="A689" s="18" t="n"/>
      <c r="B689" s="19" t="n"/>
      <c r="C689" s="19" t="n"/>
      <c r="D689" s="19" t="n"/>
      <c r="E689" s="20" t="n"/>
      <c r="F689" s="20" t="n"/>
      <c r="G689" s="19" t="n"/>
      <c r="H689" s="21">
        <f>IF(A689="","",YEAR(A689)*100+MONTH(A689))</f>
        <v/>
      </c>
    </row>
    <row r="690">
      <c r="A690" s="18" t="n"/>
      <c r="B690" s="19" t="n"/>
      <c r="C690" s="19" t="n"/>
      <c r="D690" s="19" t="n"/>
      <c r="E690" s="20" t="n"/>
      <c r="F690" s="20" t="n"/>
      <c r="G690" s="19" t="n"/>
      <c r="H690" s="21">
        <f>IF(A690="","",YEAR(A690)*100+MONTH(A690))</f>
        <v/>
      </c>
    </row>
    <row r="691">
      <c r="A691" s="18" t="n"/>
      <c r="B691" s="19" t="n"/>
      <c r="C691" s="19" t="n"/>
      <c r="D691" s="19" t="n"/>
      <c r="E691" s="20" t="n"/>
      <c r="F691" s="20" t="n"/>
      <c r="G691" s="19" t="n"/>
      <c r="H691" s="21">
        <f>IF(A691="","",YEAR(A691)*100+MONTH(A691))</f>
        <v/>
      </c>
    </row>
    <row r="692">
      <c r="A692" s="18" t="n"/>
      <c r="B692" s="19" t="n"/>
      <c r="C692" s="19" t="n"/>
      <c r="D692" s="19" t="n"/>
      <c r="E692" s="20" t="n"/>
      <c r="F692" s="20" t="n"/>
      <c r="G692" s="19" t="n"/>
      <c r="H692" s="21">
        <f>IF(A692="","",YEAR(A692)*100+MONTH(A692))</f>
        <v/>
      </c>
    </row>
    <row r="693">
      <c r="A693" s="18" t="n"/>
      <c r="B693" s="19" t="n"/>
      <c r="C693" s="19" t="n"/>
      <c r="D693" s="19" t="n"/>
      <c r="E693" s="20" t="n"/>
      <c r="F693" s="20" t="n"/>
      <c r="G693" s="19" t="n"/>
      <c r="H693" s="21">
        <f>IF(A693="","",YEAR(A693)*100+MONTH(A693))</f>
        <v/>
      </c>
    </row>
    <row r="694">
      <c r="A694" s="18" t="n"/>
      <c r="B694" s="19" t="n"/>
      <c r="C694" s="19" t="n"/>
      <c r="D694" s="19" t="n"/>
      <c r="E694" s="20" t="n"/>
      <c r="F694" s="20" t="n"/>
      <c r="G694" s="19" t="n"/>
      <c r="H694" s="21">
        <f>IF(A694="","",YEAR(A694)*100+MONTH(A694))</f>
        <v/>
      </c>
    </row>
    <row r="695">
      <c r="A695" s="18" t="n"/>
      <c r="B695" s="19" t="n"/>
      <c r="C695" s="19" t="n"/>
      <c r="D695" s="19" t="n"/>
      <c r="E695" s="20" t="n"/>
      <c r="F695" s="20" t="n"/>
      <c r="G695" s="19" t="n"/>
      <c r="H695" s="21">
        <f>IF(A695="","",YEAR(A695)*100+MONTH(A695))</f>
        <v/>
      </c>
    </row>
    <row r="696">
      <c r="A696" s="18" t="n"/>
      <c r="B696" s="19" t="n"/>
      <c r="C696" s="19" t="n"/>
      <c r="D696" s="19" t="n"/>
      <c r="E696" s="20" t="n"/>
      <c r="F696" s="20" t="n"/>
      <c r="G696" s="19" t="n"/>
      <c r="H696" s="21">
        <f>IF(A696="","",YEAR(A696)*100+MONTH(A696))</f>
        <v/>
      </c>
    </row>
    <row r="697">
      <c r="A697" s="18" t="n"/>
      <c r="B697" s="19" t="n"/>
      <c r="C697" s="19" t="n"/>
      <c r="D697" s="19" t="n"/>
      <c r="E697" s="20" t="n"/>
      <c r="F697" s="20" t="n"/>
      <c r="G697" s="19" t="n"/>
      <c r="H697" s="21">
        <f>IF(A697="","",YEAR(A697)*100+MONTH(A697))</f>
        <v/>
      </c>
    </row>
    <row r="698">
      <c r="A698" s="18" t="n"/>
      <c r="B698" s="19" t="n"/>
      <c r="C698" s="19" t="n"/>
      <c r="D698" s="19" t="n"/>
      <c r="E698" s="20" t="n"/>
      <c r="F698" s="20" t="n"/>
      <c r="G698" s="19" t="n"/>
      <c r="H698" s="21">
        <f>IF(A698="","",YEAR(A698)*100+MONTH(A698))</f>
        <v/>
      </c>
    </row>
    <row r="699">
      <c r="A699" s="18" t="n"/>
      <c r="B699" s="19" t="n"/>
      <c r="C699" s="19" t="n"/>
      <c r="D699" s="19" t="n"/>
      <c r="E699" s="20" t="n"/>
      <c r="F699" s="20" t="n"/>
      <c r="G699" s="19" t="n"/>
      <c r="H699" s="21">
        <f>IF(A699="","",YEAR(A699)*100+MONTH(A699))</f>
        <v/>
      </c>
    </row>
    <row r="700">
      <c r="A700" s="18" t="n"/>
      <c r="B700" s="19" t="n"/>
      <c r="C700" s="19" t="n"/>
      <c r="D700" s="19" t="n"/>
      <c r="E700" s="20" t="n"/>
      <c r="F700" s="20" t="n"/>
      <c r="G700" s="19" t="n"/>
      <c r="H700" s="21">
        <f>IF(A700="","",YEAR(A700)*100+MONTH(A700))</f>
        <v/>
      </c>
    </row>
    <row r="701">
      <c r="A701" s="18" t="n"/>
      <c r="B701" s="19" t="n"/>
      <c r="C701" s="19" t="n"/>
      <c r="D701" s="19" t="n"/>
      <c r="E701" s="20" t="n"/>
      <c r="F701" s="20" t="n"/>
      <c r="G701" s="19" t="n"/>
      <c r="H701" s="21">
        <f>IF(A701="","",YEAR(A701)*100+MONTH(A701))</f>
        <v/>
      </c>
    </row>
    <row r="702">
      <c r="A702" s="18" t="n"/>
      <c r="B702" s="19" t="n"/>
      <c r="C702" s="19" t="n"/>
      <c r="D702" s="19" t="n"/>
      <c r="E702" s="20" t="n"/>
      <c r="F702" s="20" t="n"/>
      <c r="G702" s="19" t="n"/>
      <c r="H702" s="21">
        <f>IF(A702="","",YEAR(A702)*100+MONTH(A702))</f>
        <v/>
      </c>
    </row>
    <row r="703">
      <c r="A703" s="18" t="n"/>
      <c r="B703" s="19" t="n"/>
      <c r="C703" s="19" t="n"/>
      <c r="D703" s="19" t="n"/>
      <c r="E703" s="20" t="n"/>
      <c r="F703" s="20" t="n"/>
      <c r="G703" s="19" t="n"/>
      <c r="H703" s="21">
        <f>IF(A703="","",YEAR(A703)*100+MONTH(A703))</f>
        <v/>
      </c>
    </row>
    <row r="704">
      <c r="A704" s="18" t="n"/>
      <c r="B704" s="19" t="n"/>
      <c r="C704" s="19" t="n"/>
      <c r="D704" s="19" t="n"/>
      <c r="E704" s="20" t="n"/>
      <c r="F704" s="20" t="n"/>
      <c r="G704" s="19" t="n"/>
      <c r="H704" s="21">
        <f>IF(A704="","",YEAR(A704)*100+MONTH(A704))</f>
        <v/>
      </c>
    </row>
    <row r="705">
      <c r="A705" s="18" t="n"/>
      <c r="B705" s="19" t="n"/>
      <c r="C705" s="19" t="n"/>
      <c r="D705" s="19" t="n"/>
      <c r="E705" s="20" t="n"/>
      <c r="F705" s="20" t="n"/>
      <c r="G705" s="19" t="n"/>
      <c r="H705" s="21">
        <f>IF(A705="","",YEAR(A705)*100+MONTH(A705))</f>
        <v/>
      </c>
    </row>
    <row r="706">
      <c r="A706" s="18" t="n"/>
      <c r="B706" s="19" t="n"/>
      <c r="C706" s="19" t="n"/>
      <c r="D706" s="19" t="n"/>
      <c r="E706" s="20" t="n"/>
      <c r="F706" s="20" t="n"/>
      <c r="G706" s="19" t="n"/>
      <c r="H706" s="21">
        <f>IF(A706="","",YEAR(A706)*100+MONTH(A706))</f>
        <v/>
      </c>
    </row>
    <row r="707">
      <c r="A707" s="18" t="n"/>
      <c r="B707" s="19" t="n"/>
      <c r="C707" s="19" t="n"/>
      <c r="D707" s="19" t="n"/>
      <c r="E707" s="20" t="n"/>
      <c r="F707" s="20" t="n"/>
      <c r="G707" s="19" t="n"/>
      <c r="H707" s="21">
        <f>IF(A707="","",YEAR(A707)*100+MONTH(A707))</f>
        <v/>
      </c>
    </row>
    <row r="708">
      <c r="A708" s="18" t="n"/>
      <c r="B708" s="19" t="n"/>
      <c r="C708" s="19" t="n"/>
      <c r="D708" s="19" t="n"/>
      <c r="E708" s="20" t="n"/>
      <c r="F708" s="20" t="n"/>
      <c r="G708" s="19" t="n"/>
      <c r="H708" s="21">
        <f>IF(A708="","",YEAR(A708)*100+MONTH(A708))</f>
        <v/>
      </c>
    </row>
    <row r="709">
      <c r="A709" s="18" t="n"/>
      <c r="B709" s="19" t="n"/>
      <c r="C709" s="19" t="n"/>
      <c r="D709" s="19" t="n"/>
      <c r="E709" s="20" t="n"/>
      <c r="F709" s="20" t="n"/>
      <c r="G709" s="19" t="n"/>
      <c r="H709" s="21">
        <f>IF(A709="","",YEAR(A709)*100+MONTH(A709))</f>
        <v/>
      </c>
    </row>
    <row r="710">
      <c r="A710" s="18" t="n"/>
      <c r="B710" s="19" t="n"/>
      <c r="C710" s="19" t="n"/>
      <c r="D710" s="19" t="n"/>
      <c r="E710" s="20" t="n"/>
      <c r="F710" s="20" t="n"/>
      <c r="G710" s="19" t="n"/>
      <c r="H710" s="21">
        <f>IF(A710="","",YEAR(A710)*100+MONTH(A710))</f>
        <v/>
      </c>
    </row>
    <row r="711">
      <c r="A711" s="18" t="n"/>
      <c r="B711" s="19" t="n"/>
      <c r="C711" s="19" t="n"/>
      <c r="D711" s="19" t="n"/>
      <c r="E711" s="20" t="n"/>
      <c r="F711" s="20" t="n"/>
      <c r="G711" s="19" t="n"/>
      <c r="H711" s="21">
        <f>IF(A711="","",YEAR(A711)*100+MONTH(A711))</f>
        <v/>
      </c>
    </row>
    <row r="712">
      <c r="A712" s="18" t="n"/>
      <c r="B712" s="19" t="n"/>
      <c r="C712" s="19" t="n"/>
      <c r="D712" s="19" t="n"/>
      <c r="E712" s="20" t="n"/>
      <c r="F712" s="20" t="n"/>
      <c r="G712" s="19" t="n"/>
      <c r="H712" s="21">
        <f>IF(A712="","",YEAR(A712)*100+MONTH(A712))</f>
        <v/>
      </c>
    </row>
    <row r="713">
      <c r="A713" s="18" t="n"/>
      <c r="B713" s="19" t="n"/>
      <c r="C713" s="19" t="n"/>
      <c r="D713" s="19" t="n"/>
      <c r="E713" s="20" t="n"/>
      <c r="F713" s="20" t="n"/>
      <c r="G713" s="19" t="n"/>
      <c r="H713" s="21">
        <f>IF(A713="","",YEAR(A713)*100+MONTH(A713))</f>
        <v/>
      </c>
    </row>
    <row r="714">
      <c r="A714" s="18" t="n"/>
      <c r="B714" s="19" t="n"/>
      <c r="C714" s="19" t="n"/>
      <c r="D714" s="19" t="n"/>
      <c r="E714" s="20" t="n"/>
      <c r="F714" s="20" t="n"/>
      <c r="G714" s="19" t="n"/>
      <c r="H714" s="21">
        <f>IF(A714="","",YEAR(A714)*100+MONTH(A714))</f>
        <v/>
      </c>
    </row>
    <row r="715">
      <c r="A715" s="18" t="n"/>
      <c r="B715" s="19" t="n"/>
      <c r="C715" s="19" t="n"/>
      <c r="D715" s="19" t="n"/>
      <c r="E715" s="20" t="n"/>
      <c r="F715" s="20" t="n"/>
      <c r="G715" s="19" t="n"/>
      <c r="H715" s="21">
        <f>IF(A715="","",YEAR(A715)*100+MONTH(A715))</f>
        <v/>
      </c>
    </row>
    <row r="716">
      <c r="A716" s="18" t="n"/>
      <c r="B716" s="19" t="n"/>
      <c r="C716" s="19" t="n"/>
      <c r="D716" s="19" t="n"/>
      <c r="E716" s="20" t="n"/>
      <c r="F716" s="20" t="n"/>
      <c r="G716" s="19" t="n"/>
      <c r="H716" s="21">
        <f>IF(A716="","",YEAR(A716)*100+MONTH(A716))</f>
        <v/>
      </c>
    </row>
    <row r="717">
      <c r="A717" s="18" t="n"/>
      <c r="B717" s="19" t="n"/>
      <c r="C717" s="19" t="n"/>
      <c r="D717" s="19" t="n"/>
      <c r="E717" s="20" t="n"/>
      <c r="F717" s="20" t="n"/>
      <c r="G717" s="19" t="n"/>
      <c r="H717" s="21">
        <f>IF(A717="","",YEAR(A717)*100+MONTH(A717))</f>
        <v/>
      </c>
    </row>
    <row r="718">
      <c r="A718" s="18" t="n"/>
      <c r="B718" s="19" t="n"/>
      <c r="C718" s="19" t="n"/>
      <c r="D718" s="19" t="n"/>
      <c r="E718" s="20" t="n"/>
      <c r="F718" s="20" t="n"/>
      <c r="G718" s="19" t="n"/>
      <c r="H718" s="21">
        <f>IF(A718="","",YEAR(A718)*100+MONTH(A718))</f>
        <v/>
      </c>
    </row>
    <row r="719">
      <c r="A719" s="18" t="n"/>
      <c r="B719" s="19" t="n"/>
      <c r="C719" s="19" t="n"/>
      <c r="D719" s="19" t="n"/>
      <c r="E719" s="20" t="n"/>
      <c r="F719" s="20" t="n"/>
      <c r="G719" s="19" t="n"/>
      <c r="H719" s="21">
        <f>IF(A719="","",YEAR(A719)*100+MONTH(A719))</f>
        <v/>
      </c>
    </row>
    <row r="720">
      <c r="A720" s="18" t="n"/>
      <c r="B720" s="19" t="n"/>
      <c r="C720" s="19" t="n"/>
      <c r="D720" s="19" t="n"/>
      <c r="E720" s="20" t="n"/>
      <c r="F720" s="20" t="n"/>
      <c r="G720" s="19" t="n"/>
      <c r="H720" s="21">
        <f>IF(A720="","",YEAR(A720)*100+MONTH(A720))</f>
        <v/>
      </c>
    </row>
    <row r="721">
      <c r="A721" s="18" t="n"/>
      <c r="B721" s="19" t="n"/>
      <c r="C721" s="19" t="n"/>
      <c r="D721" s="19" t="n"/>
      <c r="E721" s="20" t="n"/>
      <c r="F721" s="20" t="n"/>
      <c r="G721" s="19" t="n"/>
      <c r="H721" s="21">
        <f>IF(A721="","",YEAR(A721)*100+MONTH(A721))</f>
        <v/>
      </c>
    </row>
    <row r="722">
      <c r="A722" s="18" t="n"/>
      <c r="B722" s="19" t="n"/>
      <c r="C722" s="19" t="n"/>
      <c r="D722" s="19" t="n"/>
      <c r="E722" s="20" t="n"/>
      <c r="F722" s="20" t="n"/>
      <c r="G722" s="19" t="n"/>
      <c r="H722" s="21">
        <f>IF(A722="","",YEAR(A722)*100+MONTH(A722))</f>
        <v/>
      </c>
    </row>
    <row r="723">
      <c r="A723" s="18" t="n"/>
      <c r="B723" s="19" t="n"/>
      <c r="C723" s="19" t="n"/>
      <c r="D723" s="19" t="n"/>
      <c r="E723" s="20" t="n"/>
      <c r="F723" s="20" t="n"/>
      <c r="G723" s="19" t="n"/>
      <c r="H723" s="21">
        <f>IF(A723="","",YEAR(A723)*100+MONTH(A723))</f>
        <v/>
      </c>
    </row>
    <row r="724">
      <c r="A724" s="18" t="n"/>
      <c r="B724" s="19" t="n"/>
      <c r="C724" s="19" t="n"/>
      <c r="D724" s="19" t="n"/>
      <c r="E724" s="20" t="n"/>
      <c r="F724" s="20" t="n"/>
      <c r="G724" s="19" t="n"/>
      <c r="H724" s="21">
        <f>IF(A724="","",YEAR(A724)*100+MONTH(A724))</f>
        <v/>
      </c>
    </row>
    <row r="725">
      <c r="A725" s="18" t="n"/>
      <c r="B725" s="19" t="n"/>
      <c r="C725" s="19" t="n"/>
      <c r="D725" s="19" t="n"/>
      <c r="E725" s="20" t="n"/>
      <c r="F725" s="20" t="n"/>
      <c r="G725" s="19" t="n"/>
      <c r="H725" s="21">
        <f>IF(A725="","",YEAR(A725)*100+MONTH(A725))</f>
        <v/>
      </c>
    </row>
    <row r="726">
      <c r="A726" s="18" t="n"/>
      <c r="B726" s="19" t="n"/>
      <c r="C726" s="19" t="n"/>
      <c r="D726" s="19" t="n"/>
      <c r="E726" s="20" t="n"/>
      <c r="F726" s="20" t="n"/>
      <c r="G726" s="19" t="n"/>
      <c r="H726" s="21">
        <f>IF(A726="","",YEAR(A726)*100+MONTH(A726))</f>
        <v/>
      </c>
    </row>
    <row r="727">
      <c r="A727" s="18" t="n"/>
      <c r="B727" s="19" t="n"/>
      <c r="C727" s="19" t="n"/>
      <c r="D727" s="19" t="n"/>
      <c r="E727" s="20" t="n"/>
      <c r="F727" s="20" t="n"/>
      <c r="G727" s="19" t="n"/>
      <c r="H727" s="21">
        <f>IF(A727="","",YEAR(A727)*100+MONTH(A727))</f>
        <v/>
      </c>
    </row>
    <row r="728">
      <c r="A728" s="18" t="n"/>
      <c r="B728" s="19" t="n"/>
      <c r="C728" s="19" t="n"/>
      <c r="D728" s="19" t="n"/>
      <c r="E728" s="20" t="n"/>
      <c r="F728" s="20" t="n"/>
      <c r="G728" s="19" t="n"/>
      <c r="H728" s="21">
        <f>IF(A728="","",YEAR(A728)*100+MONTH(A728))</f>
        <v/>
      </c>
    </row>
    <row r="729">
      <c r="A729" s="18" t="n"/>
      <c r="B729" s="19" t="n"/>
      <c r="C729" s="19" t="n"/>
      <c r="D729" s="19" t="n"/>
      <c r="E729" s="20" t="n"/>
      <c r="F729" s="20" t="n"/>
      <c r="G729" s="19" t="n"/>
      <c r="H729" s="21">
        <f>IF(A729="","",YEAR(A729)*100+MONTH(A729))</f>
        <v/>
      </c>
    </row>
    <row r="730">
      <c r="A730" s="18" t="n"/>
      <c r="B730" s="19" t="n"/>
      <c r="C730" s="19" t="n"/>
      <c r="D730" s="19" t="n"/>
      <c r="E730" s="20" t="n"/>
      <c r="F730" s="20" t="n"/>
      <c r="G730" s="19" t="n"/>
      <c r="H730" s="21">
        <f>IF(A730="","",YEAR(A730)*100+MONTH(A730))</f>
        <v/>
      </c>
    </row>
    <row r="731">
      <c r="A731" s="18" t="n"/>
      <c r="B731" s="19" t="n"/>
      <c r="C731" s="19" t="n"/>
      <c r="D731" s="19" t="n"/>
      <c r="E731" s="20" t="n"/>
      <c r="F731" s="20" t="n"/>
      <c r="G731" s="19" t="n"/>
      <c r="H731" s="21">
        <f>IF(A731="","",YEAR(A731)*100+MONTH(A731))</f>
        <v/>
      </c>
    </row>
    <row r="732">
      <c r="A732" s="18" t="n"/>
      <c r="B732" s="19" t="n"/>
      <c r="C732" s="19" t="n"/>
      <c r="D732" s="19" t="n"/>
      <c r="E732" s="20" t="n"/>
      <c r="F732" s="20" t="n"/>
      <c r="G732" s="19" t="n"/>
      <c r="H732" s="21">
        <f>IF(A732="","",YEAR(A732)*100+MONTH(A732))</f>
        <v/>
      </c>
    </row>
    <row r="733">
      <c r="A733" s="18" t="n"/>
      <c r="B733" s="19" t="n"/>
      <c r="C733" s="19" t="n"/>
      <c r="D733" s="19" t="n"/>
      <c r="E733" s="20" t="n"/>
      <c r="F733" s="20" t="n"/>
      <c r="G733" s="19" t="n"/>
      <c r="H733" s="21">
        <f>IF(A733="","",YEAR(A733)*100+MONTH(A733))</f>
        <v/>
      </c>
    </row>
    <row r="734">
      <c r="A734" s="18" t="n"/>
      <c r="B734" s="19" t="n"/>
      <c r="C734" s="19" t="n"/>
      <c r="D734" s="19" t="n"/>
      <c r="E734" s="20" t="n"/>
      <c r="F734" s="20" t="n"/>
      <c r="G734" s="19" t="n"/>
      <c r="H734" s="21">
        <f>IF(A734="","",YEAR(A734)*100+MONTH(A734))</f>
        <v/>
      </c>
    </row>
    <row r="735">
      <c r="A735" s="18" t="n"/>
      <c r="B735" s="19" t="n"/>
      <c r="C735" s="19" t="n"/>
      <c r="D735" s="19" t="n"/>
      <c r="E735" s="20" t="n"/>
      <c r="F735" s="20" t="n"/>
      <c r="G735" s="19" t="n"/>
      <c r="H735" s="21">
        <f>IF(A735="","",YEAR(A735)*100+MONTH(A735))</f>
        <v/>
      </c>
    </row>
    <row r="736">
      <c r="A736" s="18" t="n"/>
      <c r="B736" s="19" t="n"/>
      <c r="C736" s="19" t="n"/>
      <c r="D736" s="19" t="n"/>
      <c r="E736" s="20" t="n"/>
      <c r="F736" s="20" t="n"/>
      <c r="G736" s="19" t="n"/>
      <c r="H736" s="21">
        <f>IF(A736="","",YEAR(A736)*100+MONTH(A736))</f>
        <v/>
      </c>
    </row>
    <row r="737">
      <c r="A737" s="18" t="n"/>
      <c r="B737" s="19" t="n"/>
      <c r="C737" s="19" t="n"/>
      <c r="D737" s="19" t="n"/>
      <c r="E737" s="20" t="n"/>
      <c r="F737" s="20" t="n"/>
      <c r="G737" s="19" t="n"/>
      <c r="H737" s="21">
        <f>IF(A737="","",YEAR(A737)*100+MONTH(A737))</f>
        <v/>
      </c>
    </row>
    <row r="738">
      <c r="A738" s="18" t="n"/>
      <c r="B738" s="19" t="n"/>
      <c r="C738" s="19" t="n"/>
      <c r="D738" s="19" t="n"/>
      <c r="E738" s="20" t="n"/>
      <c r="F738" s="20" t="n"/>
      <c r="G738" s="19" t="n"/>
      <c r="H738" s="21">
        <f>IF(A738="","",YEAR(A738)*100+MONTH(A738))</f>
        <v/>
      </c>
    </row>
    <row r="739">
      <c r="A739" s="18" t="n"/>
      <c r="B739" s="19" t="n"/>
      <c r="C739" s="19" t="n"/>
      <c r="D739" s="19" t="n"/>
      <c r="E739" s="20" t="n"/>
      <c r="F739" s="20" t="n"/>
      <c r="G739" s="19" t="n"/>
      <c r="H739" s="21">
        <f>IF(A739="","",YEAR(A739)*100+MONTH(A739))</f>
        <v/>
      </c>
    </row>
    <row r="740">
      <c r="A740" s="18" t="n"/>
      <c r="B740" s="19" t="n"/>
      <c r="C740" s="19" t="n"/>
      <c r="D740" s="19" t="n"/>
      <c r="E740" s="20" t="n"/>
      <c r="F740" s="20" t="n"/>
      <c r="G740" s="19" t="n"/>
      <c r="H740" s="21">
        <f>IF(A740="","",YEAR(A740)*100+MONTH(A740))</f>
        <v/>
      </c>
    </row>
    <row r="741">
      <c r="A741" s="18" t="n"/>
      <c r="B741" s="19" t="n"/>
      <c r="C741" s="19" t="n"/>
      <c r="D741" s="19" t="n"/>
      <c r="E741" s="20" t="n"/>
      <c r="F741" s="20" t="n"/>
      <c r="G741" s="19" t="n"/>
      <c r="H741" s="21">
        <f>IF(A741="","",YEAR(A741)*100+MONTH(A741))</f>
        <v/>
      </c>
    </row>
    <row r="742">
      <c r="A742" s="18" t="n"/>
      <c r="B742" s="19" t="n"/>
      <c r="C742" s="19" t="n"/>
      <c r="D742" s="19" t="n"/>
      <c r="E742" s="20" t="n"/>
      <c r="F742" s="20" t="n"/>
      <c r="G742" s="19" t="n"/>
      <c r="H742" s="21">
        <f>IF(A742="","",YEAR(A742)*100+MONTH(A742))</f>
        <v/>
      </c>
    </row>
    <row r="743">
      <c r="A743" s="18" t="n"/>
      <c r="B743" s="19" t="n"/>
      <c r="C743" s="19" t="n"/>
      <c r="D743" s="19" t="n"/>
      <c r="E743" s="20" t="n"/>
      <c r="F743" s="20" t="n"/>
      <c r="G743" s="19" t="n"/>
      <c r="H743" s="21">
        <f>IF(A743="","",YEAR(A743)*100+MONTH(A743))</f>
        <v/>
      </c>
    </row>
    <row r="744">
      <c r="A744" s="18" t="n"/>
      <c r="B744" s="19" t="n"/>
      <c r="C744" s="19" t="n"/>
      <c r="D744" s="19" t="n"/>
      <c r="E744" s="20" t="n"/>
      <c r="F744" s="20" t="n"/>
      <c r="G744" s="19" t="n"/>
      <c r="H744" s="21">
        <f>IF(A744="","",YEAR(A744)*100+MONTH(A744))</f>
        <v/>
      </c>
    </row>
    <row r="745">
      <c r="A745" s="18" t="n"/>
      <c r="B745" s="19" t="n"/>
      <c r="C745" s="19" t="n"/>
      <c r="D745" s="19" t="n"/>
      <c r="E745" s="20" t="n"/>
      <c r="F745" s="20" t="n"/>
      <c r="G745" s="19" t="n"/>
      <c r="H745" s="21">
        <f>IF(A745="","",YEAR(A745)*100+MONTH(A745))</f>
        <v/>
      </c>
    </row>
    <row r="746">
      <c r="A746" s="18" t="n"/>
      <c r="B746" s="19" t="n"/>
      <c r="C746" s="19" t="n"/>
      <c r="D746" s="19" t="n"/>
      <c r="E746" s="20" t="n"/>
      <c r="F746" s="20" t="n"/>
      <c r="G746" s="19" t="n"/>
      <c r="H746" s="21">
        <f>IF(A746="","",YEAR(A746)*100+MONTH(A746))</f>
        <v/>
      </c>
    </row>
    <row r="747">
      <c r="A747" s="18" t="n"/>
      <c r="B747" s="19" t="n"/>
      <c r="C747" s="19" t="n"/>
      <c r="D747" s="19" t="n"/>
      <c r="E747" s="20" t="n"/>
      <c r="F747" s="20" t="n"/>
      <c r="G747" s="19" t="n"/>
      <c r="H747" s="21">
        <f>IF(A747="","",YEAR(A747)*100+MONTH(A747))</f>
        <v/>
      </c>
    </row>
    <row r="748">
      <c r="A748" s="18" t="n"/>
      <c r="B748" s="19" t="n"/>
      <c r="C748" s="19" t="n"/>
      <c r="D748" s="19" t="n"/>
      <c r="E748" s="20" t="n"/>
      <c r="F748" s="20" t="n"/>
      <c r="G748" s="19" t="n"/>
      <c r="H748" s="21">
        <f>IF(A748="","",YEAR(A748)*100+MONTH(A748))</f>
        <v/>
      </c>
    </row>
    <row r="749">
      <c r="A749" s="18" t="n"/>
      <c r="B749" s="19" t="n"/>
      <c r="C749" s="19" t="n"/>
      <c r="D749" s="19" t="n"/>
      <c r="E749" s="20" t="n"/>
      <c r="F749" s="20" t="n"/>
      <c r="G749" s="19" t="n"/>
      <c r="H749" s="21">
        <f>IF(A749="","",YEAR(A749)*100+MONTH(A749))</f>
        <v/>
      </c>
    </row>
    <row r="750">
      <c r="A750" s="18" t="n"/>
      <c r="B750" s="19" t="n"/>
      <c r="C750" s="19" t="n"/>
      <c r="D750" s="19" t="n"/>
      <c r="E750" s="20" t="n"/>
      <c r="F750" s="20" t="n"/>
      <c r="G750" s="19" t="n"/>
      <c r="H750" s="21">
        <f>IF(A750="","",YEAR(A750)*100+MONTH(A750))</f>
        <v/>
      </c>
    </row>
    <row r="751">
      <c r="A751" s="18" t="n"/>
      <c r="B751" s="19" t="n"/>
      <c r="C751" s="19" t="n"/>
      <c r="D751" s="19" t="n"/>
      <c r="E751" s="20" t="n"/>
      <c r="F751" s="20" t="n"/>
      <c r="G751" s="19" t="n"/>
      <c r="H751" s="21">
        <f>IF(A751="","",YEAR(A751)*100+MONTH(A751))</f>
        <v/>
      </c>
    </row>
    <row r="752">
      <c r="A752" s="18" t="n"/>
      <c r="B752" s="19" t="n"/>
      <c r="C752" s="19" t="n"/>
      <c r="D752" s="19" t="n"/>
      <c r="E752" s="20" t="n"/>
      <c r="F752" s="20" t="n"/>
      <c r="G752" s="19" t="n"/>
      <c r="H752" s="21">
        <f>IF(A752="","",YEAR(A752)*100+MONTH(A752))</f>
        <v/>
      </c>
    </row>
    <row r="753">
      <c r="A753" s="18" t="n"/>
      <c r="B753" s="19" t="n"/>
      <c r="C753" s="19" t="n"/>
      <c r="D753" s="19" t="n"/>
      <c r="E753" s="20" t="n"/>
      <c r="F753" s="20" t="n"/>
      <c r="G753" s="19" t="n"/>
      <c r="H753" s="21">
        <f>IF(A753="","",YEAR(A753)*100+MONTH(A753))</f>
        <v/>
      </c>
    </row>
    <row r="754">
      <c r="A754" s="18" t="n"/>
      <c r="B754" s="19" t="n"/>
      <c r="C754" s="19" t="n"/>
      <c r="D754" s="19" t="n"/>
      <c r="E754" s="20" t="n"/>
      <c r="F754" s="20" t="n"/>
      <c r="G754" s="19" t="n"/>
      <c r="H754" s="21">
        <f>IF(A754="","",YEAR(A754)*100+MONTH(A754))</f>
        <v/>
      </c>
    </row>
    <row r="755">
      <c r="A755" s="18" t="n"/>
      <c r="B755" s="19" t="n"/>
      <c r="C755" s="19" t="n"/>
      <c r="D755" s="19" t="n"/>
      <c r="E755" s="20" t="n"/>
      <c r="F755" s="20" t="n"/>
      <c r="G755" s="19" t="n"/>
      <c r="H755" s="21">
        <f>IF(A755="","",YEAR(A755)*100+MONTH(A755))</f>
        <v/>
      </c>
    </row>
    <row r="756">
      <c r="A756" s="18" t="n"/>
      <c r="B756" s="19" t="n"/>
      <c r="C756" s="19" t="n"/>
      <c r="D756" s="19" t="n"/>
      <c r="E756" s="20" t="n"/>
      <c r="F756" s="20" t="n"/>
      <c r="G756" s="19" t="n"/>
      <c r="H756" s="21">
        <f>IF(A756="","",YEAR(A756)*100+MONTH(A756))</f>
        <v/>
      </c>
    </row>
    <row r="757">
      <c r="A757" s="18" t="n"/>
      <c r="B757" s="19" t="n"/>
      <c r="C757" s="19" t="n"/>
      <c r="D757" s="19" t="n"/>
      <c r="E757" s="20" t="n"/>
      <c r="F757" s="20" t="n"/>
      <c r="G757" s="19" t="n"/>
      <c r="H757" s="21">
        <f>IF(A757="","",YEAR(A757)*100+MONTH(A757))</f>
        <v/>
      </c>
    </row>
    <row r="758">
      <c r="A758" s="18" t="n"/>
      <c r="B758" s="19" t="n"/>
      <c r="C758" s="19" t="n"/>
      <c r="D758" s="19" t="n"/>
      <c r="E758" s="20" t="n"/>
      <c r="F758" s="20" t="n"/>
      <c r="G758" s="19" t="n"/>
      <c r="H758" s="21">
        <f>IF(A758="","",YEAR(A758)*100+MONTH(A758))</f>
        <v/>
      </c>
    </row>
    <row r="759">
      <c r="A759" s="18" t="n"/>
      <c r="B759" s="19" t="n"/>
      <c r="C759" s="19" t="n"/>
      <c r="D759" s="19" t="n"/>
      <c r="E759" s="20" t="n"/>
      <c r="F759" s="20" t="n"/>
      <c r="G759" s="19" t="n"/>
      <c r="H759" s="21">
        <f>IF(A759="","",YEAR(A759)*100+MONTH(A759))</f>
        <v/>
      </c>
    </row>
    <row r="760">
      <c r="A760" s="18" t="n"/>
      <c r="B760" s="19" t="n"/>
      <c r="C760" s="19" t="n"/>
      <c r="D760" s="19" t="n"/>
      <c r="E760" s="20" t="n"/>
      <c r="F760" s="20" t="n"/>
      <c r="G760" s="19" t="n"/>
      <c r="H760" s="21">
        <f>IF(A760="","",YEAR(A760)*100+MONTH(A760))</f>
        <v/>
      </c>
    </row>
    <row r="761">
      <c r="A761" s="18" t="n"/>
      <c r="B761" s="19" t="n"/>
      <c r="C761" s="19" t="n"/>
      <c r="D761" s="19" t="n"/>
      <c r="E761" s="20" t="n"/>
      <c r="F761" s="20" t="n"/>
      <c r="G761" s="19" t="n"/>
      <c r="H761" s="21">
        <f>IF(A761="","",YEAR(A761)*100+MONTH(A761))</f>
        <v/>
      </c>
    </row>
    <row r="762">
      <c r="A762" s="18" t="n"/>
      <c r="B762" s="19" t="n"/>
      <c r="C762" s="19" t="n"/>
      <c r="D762" s="19" t="n"/>
      <c r="E762" s="20" t="n"/>
      <c r="F762" s="20" t="n"/>
      <c r="G762" s="19" t="n"/>
      <c r="H762" s="21">
        <f>IF(A762="","",YEAR(A762)*100+MONTH(A762))</f>
        <v/>
      </c>
    </row>
    <row r="763">
      <c r="A763" s="18" t="n"/>
      <c r="B763" s="19" t="n"/>
      <c r="C763" s="19" t="n"/>
      <c r="D763" s="19" t="n"/>
      <c r="E763" s="20" t="n"/>
      <c r="F763" s="20" t="n"/>
      <c r="G763" s="19" t="n"/>
      <c r="H763" s="21">
        <f>IF(A763="","",YEAR(A763)*100+MONTH(A763))</f>
        <v/>
      </c>
    </row>
    <row r="764">
      <c r="A764" s="18" t="n"/>
      <c r="B764" s="19" t="n"/>
      <c r="C764" s="19" t="n"/>
      <c r="D764" s="19" t="n"/>
      <c r="E764" s="20" t="n"/>
      <c r="F764" s="20" t="n"/>
      <c r="G764" s="19" t="n"/>
      <c r="H764" s="21">
        <f>IF(A764="","",YEAR(A764)*100+MONTH(A764))</f>
        <v/>
      </c>
    </row>
    <row r="765">
      <c r="A765" s="18" t="n"/>
      <c r="B765" s="19" t="n"/>
      <c r="C765" s="19" t="n"/>
      <c r="D765" s="19" t="n"/>
      <c r="E765" s="20" t="n"/>
      <c r="F765" s="20" t="n"/>
      <c r="G765" s="19" t="n"/>
      <c r="H765" s="21">
        <f>IF(A765="","",YEAR(A765)*100+MONTH(A765))</f>
        <v/>
      </c>
    </row>
    <row r="766">
      <c r="A766" s="18" t="n"/>
      <c r="B766" s="19" t="n"/>
      <c r="C766" s="19" t="n"/>
      <c r="D766" s="19" t="n"/>
      <c r="E766" s="20" t="n"/>
      <c r="F766" s="20" t="n"/>
      <c r="G766" s="19" t="n"/>
      <c r="H766" s="21">
        <f>IF(A766="","",YEAR(A766)*100+MONTH(A766))</f>
        <v/>
      </c>
    </row>
    <row r="767">
      <c r="A767" s="18" t="n"/>
      <c r="B767" s="19" t="n"/>
      <c r="C767" s="19" t="n"/>
      <c r="D767" s="19" t="n"/>
      <c r="E767" s="20" t="n"/>
      <c r="F767" s="20" t="n"/>
      <c r="G767" s="19" t="n"/>
      <c r="H767" s="21">
        <f>IF(A767="","",YEAR(A767)*100+MONTH(A767))</f>
        <v/>
      </c>
    </row>
    <row r="768">
      <c r="A768" s="18" t="n"/>
      <c r="B768" s="19" t="n"/>
      <c r="C768" s="19" t="n"/>
      <c r="D768" s="19" t="n"/>
      <c r="E768" s="20" t="n"/>
      <c r="F768" s="20" t="n"/>
      <c r="G768" s="19" t="n"/>
      <c r="H768" s="21">
        <f>IF(A768="","",YEAR(A768)*100+MONTH(A768))</f>
        <v/>
      </c>
    </row>
    <row r="769">
      <c r="A769" s="18" t="n"/>
      <c r="B769" s="19" t="n"/>
      <c r="C769" s="19" t="n"/>
      <c r="D769" s="19" t="n"/>
      <c r="E769" s="20" t="n"/>
      <c r="F769" s="20" t="n"/>
      <c r="G769" s="19" t="n"/>
      <c r="H769" s="21">
        <f>IF(A769="","",YEAR(A769)*100+MONTH(A769))</f>
        <v/>
      </c>
    </row>
    <row r="770">
      <c r="A770" s="18" t="n"/>
      <c r="B770" s="19" t="n"/>
      <c r="C770" s="19" t="n"/>
      <c r="D770" s="19" t="n"/>
      <c r="E770" s="20" t="n"/>
      <c r="F770" s="20" t="n"/>
      <c r="G770" s="19" t="n"/>
      <c r="H770" s="21">
        <f>IF(A770="","",YEAR(A770)*100+MONTH(A770))</f>
        <v/>
      </c>
    </row>
    <row r="771">
      <c r="A771" s="18" t="n"/>
      <c r="B771" s="19" t="n"/>
      <c r="C771" s="19" t="n"/>
      <c r="D771" s="19" t="n"/>
      <c r="E771" s="20" t="n"/>
      <c r="F771" s="20" t="n"/>
      <c r="G771" s="19" t="n"/>
      <c r="H771" s="21">
        <f>IF(A771="","",YEAR(A771)*100+MONTH(A771))</f>
        <v/>
      </c>
    </row>
    <row r="772">
      <c r="A772" s="18" t="n"/>
      <c r="B772" s="19" t="n"/>
      <c r="C772" s="19" t="n"/>
      <c r="D772" s="19" t="n"/>
      <c r="E772" s="20" t="n"/>
      <c r="F772" s="20" t="n"/>
      <c r="G772" s="19" t="n"/>
      <c r="H772" s="21">
        <f>IF(A772="","",YEAR(A772)*100+MONTH(A772))</f>
        <v/>
      </c>
    </row>
    <row r="773">
      <c r="A773" s="18" t="n"/>
      <c r="B773" s="19" t="n"/>
      <c r="C773" s="19" t="n"/>
      <c r="D773" s="19" t="n"/>
      <c r="E773" s="20" t="n"/>
      <c r="F773" s="20" t="n"/>
      <c r="G773" s="19" t="n"/>
      <c r="H773" s="21">
        <f>IF(A773="","",YEAR(A773)*100+MONTH(A773))</f>
        <v/>
      </c>
    </row>
    <row r="774">
      <c r="A774" s="18" t="n"/>
      <c r="B774" s="19" t="n"/>
      <c r="C774" s="19" t="n"/>
      <c r="D774" s="19" t="n"/>
      <c r="E774" s="20" t="n"/>
      <c r="F774" s="20" t="n"/>
      <c r="G774" s="19" t="n"/>
      <c r="H774" s="21">
        <f>IF(A774="","",YEAR(A774)*100+MONTH(A774))</f>
        <v/>
      </c>
    </row>
    <row r="775">
      <c r="A775" s="18" t="n"/>
      <c r="B775" s="19" t="n"/>
      <c r="C775" s="19" t="n"/>
      <c r="D775" s="19" t="n"/>
      <c r="E775" s="20" t="n"/>
      <c r="F775" s="20" t="n"/>
      <c r="G775" s="19" t="n"/>
      <c r="H775" s="21">
        <f>IF(A775="","",YEAR(A775)*100+MONTH(A775))</f>
        <v/>
      </c>
    </row>
    <row r="776">
      <c r="A776" s="18" t="n"/>
      <c r="B776" s="19" t="n"/>
      <c r="C776" s="19" t="n"/>
      <c r="D776" s="19" t="n"/>
      <c r="E776" s="20" t="n"/>
      <c r="F776" s="20" t="n"/>
      <c r="G776" s="19" t="n"/>
      <c r="H776" s="21">
        <f>IF(A776="","",YEAR(A776)*100+MONTH(A776))</f>
        <v/>
      </c>
    </row>
    <row r="777">
      <c r="A777" s="18" t="n"/>
      <c r="B777" s="19" t="n"/>
      <c r="C777" s="19" t="n"/>
      <c r="D777" s="19" t="n"/>
      <c r="E777" s="20" t="n"/>
      <c r="F777" s="20" t="n"/>
      <c r="G777" s="19" t="n"/>
      <c r="H777" s="21">
        <f>IF(A777="","",YEAR(A777)*100+MONTH(A777))</f>
        <v/>
      </c>
    </row>
    <row r="778">
      <c r="A778" s="18" t="n"/>
      <c r="B778" s="19" t="n"/>
      <c r="C778" s="19" t="n"/>
      <c r="D778" s="19" t="n"/>
      <c r="E778" s="20" t="n"/>
      <c r="F778" s="20" t="n"/>
      <c r="G778" s="19" t="n"/>
      <c r="H778" s="21">
        <f>IF(A778="","",YEAR(A778)*100+MONTH(A778))</f>
        <v/>
      </c>
    </row>
    <row r="779">
      <c r="A779" s="18" t="n"/>
      <c r="B779" s="19" t="n"/>
      <c r="C779" s="19" t="n"/>
      <c r="D779" s="19" t="n"/>
      <c r="E779" s="20" t="n"/>
      <c r="F779" s="20" t="n"/>
      <c r="G779" s="19" t="n"/>
      <c r="H779" s="21">
        <f>IF(A779="","",YEAR(A779)*100+MONTH(A779))</f>
        <v/>
      </c>
    </row>
    <row r="780">
      <c r="A780" s="18" t="n"/>
      <c r="B780" s="19" t="n"/>
      <c r="C780" s="19" t="n"/>
      <c r="D780" s="19" t="n"/>
      <c r="E780" s="20" t="n"/>
      <c r="F780" s="20" t="n"/>
      <c r="G780" s="19" t="n"/>
      <c r="H780" s="21">
        <f>IF(A780="","",YEAR(A780)*100+MONTH(A780))</f>
        <v/>
      </c>
    </row>
    <row r="781">
      <c r="A781" s="18" t="n"/>
      <c r="B781" s="19" t="n"/>
      <c r="C781" s="19" t="n"/>
      <c r="D781" s="19" t="n"/>
      <c r="E781" s="20" t="n"/>
      <c r="F781" s="20" t="n"/>
      <c r="G781" s="19" t="n"/>
      <c r="H781" s="21">
        <f>IF(A781="","",YEAR(A781)*100+MONTH(A781))</f>
        <v/>
      </c>
    </row>
    <row r="782">
      <c r="A782" s="18" t="n"/>
      <c r="B782" s="19" t="n"/>
      <c r="C782" s="19" t="n"/>
      <c r="D782" s="19" t="n"/>
      <c r="E782" s="20" t="n"/>
      <c r="F782" s="20" t="n"/>
      <c r="G782" s="19" t="n"/>
      <c r="H782" s="21">
        <f>IF(A782="","",YEAR(A782)*100+MONTH(A782))</f>
        <v/>
      </c>
    </row>
    <row r="783">
      <c r="A783" s="18" t="n"/>
      <c r="B783" s="19" t="n"/>
      <c r="C783" s="19" t="n"/>
      <c r="D783" s="19" t="n"/>
      <c r="E783" s="20" t="n"/>
      <c r="F783" s="20" t="n"/>
      <c r="G783" s="19" t="n"/>
      <c r="H783" s="21">
        <f>IF(A783="","",YEAR(A783)*100+MONTH(A783))</f>
        <v/>
      </c>
    </row>
    <row r="784">
      <c r="A784" s="18" t="n"/>
      <c r="B784" s="19" t="n"/>
      <c r="C784" s="19" t="n"/>
      <c r="D784" s="19" t="n"/>
      <c r="E784" s="20" t="n"/>
      <c r="F784" s="20" t="n"/>
      <c r="G784" s="19" t="n"/>
      <c r="H784" s="21">
        <f>IF(A784="","",YEAR(A784)*100+MONTH(A784))</f>
        <v/>
      </c>
    </row>
    <row r="785">
      <c r="A785" s="18" t="n"/>
      <c r="B785" s="19" t="n"/>
      <c r="C785" s="19" t="n"/>
      <c r="D785" s="19" t="n"/>
      <c r="E785" s="20" t="n"/>
      <c r="F785" s="20" t="n"/>
      <c r="G785" s="19" t="n"/>
      <c r="H785" s="21">
        <f>IF(A785="","",YEAR(A785)*100+MONTH(A785))</f>
        <v/>
      </c>
    </row>
    <row r="786">
      <c r="A786" s="18" t="n"/>
      <c r="B786" s="19" t="n"/>
      <c r="C786" s="19" t="n"/>
      <c r="D786" s="19" t="n"/>
      <c r="E786" s="20" t="n"/>
      <c r="F786" s="20" t="n"/>
      <c r="G786" s="19" t="n"/>
      <c r="H786" s="21">
        <f>IF(A786="","",YEAR(A786)*100+MONTH(A786))</f>
        <v/>
      </c>
    </row>
    <row r="787">
      <c r="A787" s="18" t="n"/>
      <c r="B787" s="19" t="n"/>
      <c r="C787" s="19" t="n"/>
      <c r="D787" s="19" t="n"/>
      <c r="E787" s="20" t="n"/>
      <c r="F787" s="20" t="n"/>
      <c r="G787" s="19" t="n"/>
      <c r="H787" s="21">
        <f>IF(A787="","",YEAR(A787)*100+MONTH(A787))</f>
        <v/>
      </c>
    </row>
    <row r="788">
      <c r="A788" s="18" t="n"/>
      <c r="B788" s="19" t="n"/>
      <c r="C788" s="19" t="n"/>
      <c r="D788" s="19" t="n"/>
      <c r="E788" s="20" t="n"/>
      <c r="F788" s="20" t="n"/>
      <c r="G788" s="19" t="n"/>
      <c r="H788" s="21">
        <f>IF(A788="","",YEAR(A788)*100+MONTH(A788))</f>
        <v/>
      </c>
    </row>
    <row r="789">
      <c r="A789" s="18" t="n"/>
      <c r="B789" s="19" t="n"/>
      <c r="C789" s="19" t="n"/>
      <c r="D789" s="19" t="n"/>
      <c r="E789" s="20" t="n"/>
      <c r="F789" s="20" t="n"/>
      <c r="G789" s="19" t="n"/>
      <c r="H789" s="21">
        <f>IF(A789="","",YEAR(A789)*100+MONTH(A789))</f>
        <v/>
      </c>
    </row>
    <row r="790">
      <c r="A790" s="18" t="n"/>
      <c r="B790" s="19" t="n"/>
      <c r="C790" s="19" t="n"/>
      <c r="D790" s="19" t="n"/>
      <c r="E790" s="20" t="n"/>
      <c r="F790" s="20" t="n"/>
      <c r="G790" s="19" t="n"/>
      <c r="H790" s="21">
        <f>IF(A790="","",YEAR(A790)*100+MONTH(A790))</f>
        <v/>
      </c>
    </row>
    <row r="791">
      <c r="A791" s="18" t="n"/>
      <c r="B791" s="19" t="n"/>
      <c r="C791" s="19" t="n"/>
      <c r="D791" s="19" t="n"/>
      <c r="E791" s="20" t="n"/>
      <c r="F791" s="20" t="n"/>
      <c r="G791" s="19" t="n"/>
      <c r="H791" s="21">
        <f>IF(A791="","",YEAR(A791)*100+MONTH(A791))</f>
        <v/>
      </c>
    </row>
    <row r="792">
      <c r="A792" s="18" t="n"/>
      <c r="B792" s="19" t="n"/>
      <c r="C792" s="19" t="n"/>
      <c r="D792" s="19" t="n"/>
      <c r="E792" s="20" t="n"/>
      <c r="F792" s="20" t="n"/>
      <c r="G792" s="19" t="n"/>
      <c r="H792" s="21">
        <f>IF(A792="","",YEAR(A792)*100+MONTH(A792))</f>
        <v/>
      </c>
    </row>
    <row r="793">
      <c r="A793" s="18" t="n"/>
      <c r="B793" s="19" t="n"/>
      <c r="C793" s="19" t="n"/>
      <c r="D793" s="19" t="n"/>
      <c r="E793" s="20" t="n"/>
      <c r="F793" s="20" t="n"/>
      <c r="G793" s="19" t="n"/>
      <c r="H793" s="21">
        <f>IF(A793="","",YEAR(A793)*100+MONTH(A793))</f>
        <v/>
      </c>
    </row>
    <row r="794">
      <c r="A794" s="18" t="n"/>
      <c r="B794" s="19" t="n"/>
      <c r="C794" s="19" t="n"/>
      <c r="D794" s="19" t="n"/>
      <c r="E794" s="20" t="n"/>
      <c r="F794" s="20" t="n"/>
      <c r="G794" s="19" t="n"/>
      <c r="H794" s="21">
        <f>IF(A794="","",YEAR(A794)*100+MONTH(A794))</f>
        <v/>
      </c>
    </row>
    <row r="795">
      <c r="A795" s="18" t="n"/>
      <c r="B795" s="19" t="n"/>
      <c r="C795" s="19" t="n"/>
      <c r="D795" s="19" t="n"/>
      <c r="E795" s="20" t="n"/>
      <c r="F795" s="20" t="n"/>
      <c r="G795" s="19" t="n"/>
      <c r="H795" s="21">
        <f>IF(A795="","",YEAR(A795)*100+MONTH(A795))</f>
        <v/>
      </c>
    </row>
    <row r="796">
      <c r="A796" s="18" t="n"/>
      <c r="B796" s="19" t="n"/>
      <c r="C796" s="19" t="n"/>
      <c r="D796" s="19" t="n"/>
      <c r="E796" s="20" t="n"/>
      <c r="F796" s="20" t="n"/>
      <c r="G796" s="19" t="n"/>
      <c r="H796" s="21">
        <f>IF(A796="","",YEAR(A796)*100+MONTH(A796))</f>
        <v/>
      </c>
    </row>
    <row r="797">
      <c r="A797" s="18" t="n"/>
      <c r="B797" s="19" t="n"/>
      <c r="C797" s="19" t="n"/>
      <c r="D797" s="19" t="n"/>
      <c r="E797" s="20" t="n"/>
      <c r="F797" s="20" t="n"/>
      <c r="G797" s="19" t="n"/>
      <c r="H797" s="21">
        <f>IF(A797="","",YEAR(A797)*100+MONTH(A797))</f>
        <v/>
      </c>
    </row>
    <row r="798">
      <c r="A798" s="18" t="n"/>
      <c r="B798" s="19" t="n"/>
      <c r="C798" s="19" t="n"/>
      <c r="D798" s="19" t="n"/>
      <c r="E798" s="20" t="n"/>
      <c r="F798" s="20" t="n"/>
      <c r="G798" s="19" t="n"/>
      <c r="H798" s="21">
        <f>IF(A798="","",YEAR(A798)*100+MONTH(A798))</f>
        <v/>
      </c>
    </row>
    <row r="799">
      <c r="A799" s="18" t="n"/>
      <c r="B799" s="19" t="n"/>
      <c r="C799" s="19" t="n"/>
      <c r="D799" s="19" t="n"/>
      <c r="E799" s="20" t="n"/>
      <c r="F799" s="20" t="n"/>
      <c r="G799" s="19" t="n"/>
      <c r="H799" s="21">
        <f>IF(A799="","",YEAR(A799)*100+MONTH(A799))</f>
        <v/>
      </c>
    </row>
    <row r="800">
      <c r="A800" s="18" t="n"/>
      <c r="B800" s="19" t="n"/>
      <c r="C800" s="19" t="n"/>
      <c r="D800" s="19" t="n"/>
      <c r="E800" s="20" t="n"/>
      <c r="F800" s="20" t="n"/>
      <c r="G800" s="19" t="n"/>
      <c r="H800" s="21">
        <f>IF(A800="","",YEAR(A800)*100+MONTH(A800))</f>
        <v/>
      </c>
    </row>
    <row r="801">
      <c r="A801" s="18" t="n"/>
      <c r="B801" s="19" t="n"/>
      <c r="C801" s="19" t="n"/>
      <c r="D801" s="19" t="n"/>
      <c r="E801" s="20" t="n"/>
      <c r="F801" s="20" t="n"/>
      <c r="G801" s="19" t="n"/>
      <c r="H801" s="21">
        <f>IF(A801="","",YEAR(A801)*100+MONTH(A801))</f>
        <v/>
      </c>
    </row>
    <row r="802">
      <c r="A802" s="18" t="n"/>
      <c r="B802" s="19" t="n"/>
      <c r="C802" s="19" t="n"/>
      <c r="D802" s="19" t="n"/>
      <c r="E802" s="20" t="n"/>
      <c r="F802" s="20" t="n"/>
      <c r="G802" s="19" t="n"/>
      <c r="H802" s="21">
        <f>IF(A802="","",YEAR(A802)*100+MONTH(A802))</f>
        <v/>
      </c>
    </row>
    <row r="803">
      <c r="A803" s="18" t="n"/>
      <c r="B803" s="19" t="n"/>
      <c r="C803" s="19" t="n"/>
      <c r="D803" s="19" t="n"/>
      <c r="E803" s="20" t="n"/>
      <c r="F803" s="20" t="n"/>
      <c r="G803" s="19" t="n"/>
      <c r="H803" s="21">
        <f>IF(A803="","",YEAR(A803)*100+MONTH(A803))</f>
        <v/>
      </c>
    </row>
    <row r="804">
      <c r="A804" s="18" t="n"/>
      <c r="B804" s="19" t="n"/>
      <c r="C804" s="19" t="n"/>
      <c r="D804" s="19" t="n"/>
      <c r="E804" s="20" t="n"/>
      <c r="F804" s="20" t="n"/>
      <c r="G804" s="19" t="n"/>
      <c r="H804" s="21">
        <f>IF(A804="","",YEAR(A804)*100+MONTH(A804))</f>
        <v/>
      </c>
    </row>
    <row r="805">
      <c r="A805" s="18" t="n"/>
      <c r="B805" s="19" t="n"/>
      <c r="C805" s="19" t="n"/>
      <c r="D805" s="19" t="n"/>
      <c r="E805" s="20" t="n"/>
      <c r="F805" s="20" t="n"/>
      <c r="G805" s="19" t="n"/>
      <c r="H805" s="21">
        <f>IF(A805="","",YEAR(A805)*100+MONTH(A805))</f>
        <v/>
      </c>
    </row>
    <row r="806">
      <c r="A806" s="18" t="n"/>
      <c r="B806" s="19" t="n"/>
      <c r="C806" s="19" t="n"/>
      <c r="D806" s="19" t="n"/>
      <c r="E806" s="20" t="n"/>
      <c r="F806" s="20" t="n"/>
      <c r="G806" s="19" t="n"/>
      <c r="H806" s="21">
        <f>IF(A806="","",YEAR(A806)*100+MONTH(A806))</f>
        <v/>
      </c>
    </row>
    <row r="807">
      <c r="A807" s="18" t="n"/>
      <c r="B807" s="19" t="n"/>
      <c r="C807" s="19" t="n"/>
      <c r="D807" s="19" t="n"/>
      <c r="E807" s="20" t="n"/>
      <c r="F807" s="20" t="n"/>
      <c r="G807" s="19" t="n"/>
      <c r="H807" s="21">
        <f>IF(A807="","",YEAR(A807)*100+MONTH(A807))</f>
        <v/>
      </c>
    </row>
    <row r="808">
      <c r="A808" s="18" t="n"/>
      <c r="B808" s="19" t="n"/>
      <c r="C808" s="19" t="n"/>
      <c r="D808" s="19" t="n"/>
      <c r="E808" s="20" t="n"/>
      <c r="F808" s="20" t="n"/>
      <c r="G808" s="19" t="n"/>
      <c r="H808" s="21">
        <f>IF(A808="","",YEAR(A808)*100+MONTH(A808))</f>
        <v/>
      </c>
    </row>
    <row r="809">
      <c r="A809" s="18" t="n"/>
      <c r="B809" s="19" t="n"/>
      <c r="C809" s="19" t="n"/>
      <c r="D809" s="19" t="n"/>
      <c r="E809" s="20" t="n"/>
      <c r="F809" s="20" t="n"/>
      <c r="G809" s="19" t="n"/>
      <c r="H809" s="21">
        <f>IF(A809="","",YEAR(A809)*100+MONTH(A809))</f>
        <v/>
      </c>
    </row>
    <row r="810">
      <c r="A810" s="18" t="n"/>
      <c r="B810" s="19" t="n"/>
      <c r="C810" s="19" t="n"/>
      <c r="D810" s="19" t="n"/>
      <c r="E810" s="20" t="n"/>
      <c r="F810" s="20" t="n"/>
      <c r="G810" s="19" t="n"/>
      <c r="H810" s="21">
        <f>IF(A810="","",YEAR(A810)*100+MONTH(A810))</f>
        <v/>
      </c>
    </row>
    <row r="811">
      <c r="A811" s="18" t="n"/>
      <c r="B811" s="19" t="n"/>
      <c r="C811" s="19" t="n"/>
      <c r="D811" s="19" t="n"/>
      <c r="E811" s="20" t="n"/>
      <c r="F811" s="20" t="n"/>
      <c r="G811" s="19" t="n"/>
      <c r="H811" s="21">
        <f>IF(A811="","",YEAR(A811)*100+MONTH(A811))</f>
        <v/>
      </c>
    </row>
    <row r="812">
      <c r="A812" s="18" t="n"/>
      <c r="B812" s="19" t="n"/>
      <c r="C812" s="19" t="n"/>
      <c r="D812" s="19" t="n"/>
      <c r="E812" s="20" t="n"/>
      <c r="F812" s="20" t="n"/>
      <c r="G812" s="19" t="n"/>
      <c r="H812" s="21">
        <f>IF(A812="","",YEAR(A812)*100+MONTH(A812))</f>
        <v/>
      </c>
    </row>
    <row r="813">
      <c r="A813" s="18" t="n"/>
      <c r="B813" s="19" t="n"/>
      <c r="C813" s="19" t="n"/>
      <c r="D813" s="19" t="n"/>
      <c r="E813" s="20" t="n"/>
      <c r="F813" s="20" t="n"/>
      <c r="G813" s="19" t="n"/>
      <c r="H813" s="21">
        <f>IF(A813="","",YEAR(A813)*100+MONTH(A813))</f>
        <v/>
      </c>
    </row>
    <row r="814">
      <c r="A814" s="18" t="n"/>
      <c r="B814" s="19" t="n"/>
      <c r="C814" s="19" t="n"/>
      <c r="D814" s="19" t="n"/>
      <c r="E814" s="20" t="n"/>
      <c r="F814" s="20" t="n"/>
      <c r="G814" s="19" t="n"/>
      <c r="H814" s="21">
        <f>IF(A814="","",YEAR(A814)*100+MONTH(A814))</f>
        <v/>
      </c>
    </row>
    <row r="815">
      <c r="A815" s="18" t="n"/>
      <c r="B815" s="19" t="n"/>
      <c r="C815" s="19" t="n"/>
      <c r="D815" s="19" t="n"/>
      <c r="E815" s="20" t="n"/>
      <c r="F815" s="20" t="n"/>
      <c r="G815" s="19" t="n"/>
      <c r="H815" s="21">
        <f>IF(A815="","",YEAR(A815)*100+MONTH(A815))</f>
        <v/>
      </c>
    </row>
    <row r="816">
      <c r="A816" s="18" t="n"/>
      <c r="B816" s="19" t="n"/>
      <c r="C816" s="19" t="n"/>
      <c r="D816" s="19" t="n"/>
      <c r="E816" s="20" t="n"/>
      <c r="F816" s="20" t="n"/>
      <c r="G816" s="19" t="n"/>
      <c r="H816" s="21">
        <f>IF(A816="","",YEAR(A816)*100+MONTH(A816))</f>
        <v/>
      </c>
    </row>
    <row r="817">
      <c r="A817" s="18" t="n"/>
      <c r="B817" s="19" t="n"/>
      <c r="C817" s="19" t="n"/>
      <c r="D817" s="19" t="n"/>
      <c r="E817" s="20" t="n"/>
      <c r="F817" s="20" t="n"/>
      <c r="G817" s="19" t="n"/>
      <c r="H817" s="21">
        <f>IF(A817="","",YEAR(A817)*100+MONTH(A817))</f>
        <v/>
      </c>
    </row>
    <row r="818">
      <c r="A818" s="18" t="n"/>
      <c r="B818" s="19" t="n"/>
      <c r="C818" s="19" t="n"/>
      <c r="D818" s="19" t="n"/>
      <c r="E818" s="20" t="n"/>
      <c r="F818" s="20" t="n"/>
      <c r="G818" s="19" t="n"/>
      <c r="H818" s="21">
        <f>IF(A818="","",YEAR(A818)*100+MONTH(A818))</f>
        <v/>
      </c>
    </row>
    <row r="819">
      <c r="A819" s="18" t="n"/>
      <c r="B819" s="19" t="n"/>
      <c r="C819" s="19" t="n"/>
      <c r="D819" s="19" t="n"/>
      <c r="E819" s="20" t="n"/>
      <c r="F819" s="20" t="n"/>
      <c r="G819" s="19" t="n"/>
      <c r="H819" s="21">
        <f>IF(A819="","",YEAR(A819)*100+MONTH(A819))</f>
        <v/>
      </c>
    </row>
    <row r="820">
      <c r="A820" s="18" t="n"/>
      <c r="B820" s="19" t="n"/>
      <c r="C820" s="19" t="n"/>
      <c r="D820" s="19" t="n"/>
      <c r="E820" s="20" t="n"/>
      <c r="F820" s="20" t="n"/>
      <c r="G820" s="19" t="n"/>
      <c r="H820" s="21">
        <f>IF(A820="","",YEAR(A820)*100+MONTH(A820))</f>
        <v/>
      </c>
    </row>
    <row r="821">
      <c r="A821" s="18" t="n"/>
      <c r="B821" s="19" t="n"/>
      <c r="C821" s="19" t="n"/>
      <c r="D821" s="19" t="n"/>
      <c r="E821" s="20" t="n"/>
      <c r="F821" s="20" t="n"/>
      <c r="G821" s="19" t="n"/>
      <c r="H821" s="21">
        <f>IF(A821="","",YEAR(A821)*100+MONTH(A821))</f>
        <v/>
      </c>
    </row>
    <row r="822">
      <c r="A822" s="18" t="n"/>
      <c r="B822" s="19" t="n"/>
      <c r="C822" s="19" t="n"/>
      <c r="D822" s="19" t="n"/>
      <c r="E822" s="20" t="n"/>
      <c r="F822" s="20" t="n"/>
      <c r="G822" s="19" t="n"/>
      <c r="H822" s="21">
        <f>IF(A822="","",YEAR(A822)*100+MONTH(A822))</f>
        <v/>
      </c>
    </row>
    <row r="823">
      <c r="A823" s="18" t="n"/>
      <c r="B823" s="19" t="n"/>
      <c r="C823" s="19" t="n"/>
      <c r="D823" s="19" t="n"/>
      <c r="E823" s="20" t="n"/>
      <c r="F823" s="20" t="n"/>
      <c r="G823" s="19" t="n"/>
      <c r="H823" s="21">
        <f>IF(A823="","",YEAR(A823)*100+MONTH(A823))</f>
        <v/>
      </c>
    </row>
    <row r="824">
      <c r="A824" s="18" t="n"/>
      <c r="B824" s="19" t="n"/>
      <c r="C824" s="19" t="n"/>
      <c r="D824" s="19" t="n"/>
      <c r="E824" s="20" t="n"/>
      <c r="F824" s="20" t="n"/>
      <c r="G824" s="19" t="n"/>
      <c r="H824" s="21">
        <f>IF(A824="","",YEAR(A824)*100+MONTH(A824))</f>
        <v/>
      </c>
    </row>
    <row r="825">
      <c r="A825" s="18" t="n"/>
      <c r="B825" s="19" t="n"/>
      <c r="C825" s="19" t="n"/>
      <c r="D825" s="19" t="n"/>
      <c r="E825" s="20" t="n"/>
      <c r="F825" s="20" t="n"/>
      <c r="G825" s="19" t="n"/>
      <c r="H825" s="21">
        <f>IF(A825="","",YEAR(A825)*100+MONTH(A825))</f>
        <v/>
      </c>
    </row>
    <row r="826">
      <c r="A826" s="18" t="n"/>
      <c r="B826" s="19" t="n"/>
      <c r="C826" s="19" t="n"/>
      <c r="D826" s="19" t="n"/>
      <c r="E826" s="20" t="n"/>
      <c r="F826" s="20" t="n"/>
      <c r="G826" s="19" t="n"/>
      <c r="H826" s="21">
        <f>IF(A826="","",YEAR(A826)*100+MONTH(A826))</f>
        <v/>
      </c>
    </row>
    <row r="827">
      <c r="A827" s="18" t="n"/>
      <c r="B827" s="19" t="n"/>
      <c r="C827" s="19" t="n"/>
      <c r="D827" s="19" t="n"/>
      <c r="E827" s="20" t="n"/>
      <c r="F827" s="20" t="n"/>
      <c r="G827" s="19" t="n"/>
      <c r="H827" s="21">
        <f>IF(A827="","",YEAR(A827)*100+MONTH(A827))</f>
        <v/>
      </c>
    </row>
    <row r="828">
      <c r="A828" s="18" t="n"/>
      <c r="B828" s="19" t="n"/>
      <c r="C828" s="19" t="n"/>
      <c r="D828" s="19" t="n"/>
      <c r="E828" s="20" t="n"/>
      <c r="F828" s="20" t="n"/>
      <c r="G828" s="19" t="n"/>
      <c r="H828" s="21">
        <f>IF(A828="","",YEAR(A828)*100+MONTH(A828))</f>
        <v/>
      </c>
    </row>
    <row r="829">
      <c r="A829" s="18" t="n"/>
      <c r="B829" s="19" t="n"/>
      <c r="C829" s="19" t="n"/>
      <c r="D829" s="19" t="n"/>
      <c r="E829" s="20" t="n"/>
      <c r="F829" s="20" t="n"/>
      <c r="G829" s="19" t="n"/>
      <c r="H829" s="21">
        <f>IF(A829="","",YEAR(A829)*100+MONTH(A829))</f>
        <v/>
      </c>
    </row>
    <row r="830">
      <c r="A830" s="18" t="n"/>
      <c r="B830" s="19" t="n"/>
      <c r="C830" s="19" t="n"/>
      <c r="D830" s="19" t="n"/>
      <c r="E830" s="20" t="n"/>
      <c r="F830" s="20" t="n"/>
      <c r="G830" s="19" t="n"/>
      <c r="H830" s="21">
        <f>IF(A830="","",YEAR(A830)*100+MONTH(A830))</f>
        <v/>
      </c>
    </row>
    <row r="831">
      <c r="A831" s="18" t="n"/>
      <c r="B831" s="19" t="n"/>
      <c r="C831" s="19" t="n"/>
      <c r="D831" s="19" t="n"/>
      <c r="E831" s="20" t="n"/>
      <c r="F831" s="20" t="n"/>
      <c r="G831" s="19" t="n"/>
      <c r="H831" s="21">
        <f>IF(A831="","",YEAR(A831)*100+MONTH(A831))</f>
        <v/>
      </c>
    </row>
    <row r="832">
      <c r="A832" s="18" t="n"/>
      <c r="B832" s="19" t="n"/>
      <c r="C832" s="19" t="n"/>
      <c r="D832" s="19" t="n"/>
      <c r="E832" s="20" t="n"/>
      <c r="F832" s="20" t="n"/>
      <c r="G832" s="19" t="n"/>
      <c r="H832" s="21">
        <f>IF(A832="","",YEAR(A832)*100+MONTH(A832))</f>
        <v/>
      </c>
    </row>
    <row r="833">
      <c r="A833" s="18" t="n"/>
      <c r="B833" s="19" t="n"/>
      <c r="C833" s="19" t="n"/>
      <c r="D833" s="19" t="n"/>
      <c r="E833" s="20" t="n"/>
      <c r="F833" s="20" t="n"/>
      <c r="G833" s="19" t="n"/>
      <c r="H833" s="21">
        <f>IF(A833="","",YEAR(A833)*100+MONTH(A833))</f>
        <v/>
      </c>
    </row>
    <row r="834">
      <c r="A834" s="18" t="n"/>
      <c r="B834" s="19" t="n"/>
      <c r="C834" s="19" t="n"/>
      <c r="D834" s="19" t="n"/>
      <c r="E834" s="20" t="n"/>
      <c r="F834" s="20" t="n"/>
      <c r="G834" s="19" t="n"/>
      <c r="H834" s="21">
        <f>IF(A834="","",YEAR(A834)*100+MONTH(A834))</f>
        <v/>
      </c>
    </row>
    <row r="835">
      <c r="A835" s="18" t="n"/>
      <c r="B835" s="19" t="n"/>
      <c r="C835" s="19" t="n"/>
      <c r="D835" s="19" t="n"/>
      <c r="E835" s="20" t="n"/>
      <c r="F835" s="20" t="n"/>
      <c r="G835" s="19" t="n"/>
      <c r="H835" s="21">
        <f>IF(A835="","",YEAR(A835)*100+MONTH(A835))</f>
        <v/>
      </c>
    </row>
    <row r="836">
      <c r="A836" s="18" t="n"/>
      <c r="B836" s="19" t="n"/>
      <c r="C836" s="19" t="n"/>
      <c r="D836" s="19" t="n"/>
      <c r="E836" s="20" t="n"/>
      <c r="F836" s="20" t="n"/>
      <c r="G836" s="19" t="n"/>
      <c r="H836" s="21">
        <f>IF(A836="","",YEAR(A836)*100+MONTH(A836))</f>
        <v/>
      </c>
    </row>
    <row r="837">
      <c r="A837" s="18" t="n"/>
      <c r="B837" s="19" t="n"/>
      <c r="C837" s="19" t="n"/>
      <c r="D837" s="19" t="n"/>
      <c r="E837" s="20" t="n"/>
      <c r="F837" s="20" t="n"/>
      <c r="G837" s="19" t="n"/>
      <c r="H837" s="21">
        <f>IF(A837="","",YEAR(A837)*100+MONTH(A837))</f>
        <v/>
      </c>
    </row>
    <row r="838">
      <c r="A838" s="18" t="n"/>
      <c r="B838" s="19" t="n"/>
      <c r="C838" s="19" t="n"/>
      <c r="D838" s="19" t="n"/>
      <c r="E838" s="20" t="n"/>
      <c r="F838" s="20" t="n"/>
      <c r="G838" s="19" t="n"/>
      <c r="H838" s="21">
        <f>IF(A838="","",YEAR(A838)*100+MONTH(A838))</f>
        <v/>
      </c>
    </row>
    <row r="839">
      <c r="A839" s="18" t="n"/>
      <c r="B839" s="19" t="n"/>
      <c r="C839" s="19" t="n"/>
      <c r="D839" s="19" t="n"/>
      <c r="E839" s="20" t="n"/>
      <c r="F839" s="20" t="n"/>
      <c r="G839" s="19" t="n"/>
      <c r="H839" s="21">
        <f>IF(A839="","",YEAR(A839)*100+MONTH(A839))</f>
        <v/>
      </c>
    </row>
    <row r="840">
      <c r="A840" s="18" t="n"/>
      <c r="B840" s="19" t="n"/>
      <c r="C840" s="19" t="n"/>
      <c r="D840" s="19" t="n"/>
      <c r="E840" s="20" t="n"/>
      <c r="F840" s="20" t="n"/>
      <c r="G840" s="19" t="n"/>
      <c r="H840" s="21">
        <f>IF(A840="","",YEAR(A840)*100+MONTH(A840))</f>
        <v/>
      </c>
    </row>
    <row r="841">
      <c r="A841" s="18" t="n"/>
      <c r="B841" s="19" t="n"/>
      <c r="C841" s="19" t="n"/>
      <c r="D841" s="19" t="n"/>
      <c r="E841" s="20" t="n"/>
      <c r="F841" s="20" t="n"/>
      <c r="G841" s="19" t="n"/>
      <c r="H841" s="21">
        <f>IF(A841="","",YEAR(A841)*100+MONTH(A841))</f>
        <v/>
      </c>
    </row>
    <row r="842">
      <c r="A842" s="18" t="n"/>
      <c r="B842" s="19" t="n"/>
      <c r="C842" s="19" t="n"/>
      <c r="D842" s="19" t="n"/>
      <c r="E842" s="20" t="n"/>
      <c r="F842" s="20" t="n"/>
      <c r="G842" s="19" t="n"/>
      <c r="H842" s="21">
        <f>IF(A842="","",YEAR(A842)*100+MONTH(A842))</f>
        <v/>
      </c>
    </row>
    <row r="843">
      <c r="A843" s="18" t="n"/>
      <c r="B843" s="19" t="n"/>
      <c r="C843" s="19" t="n"/>
      <c r="D843" s="19" t="n"/>
      <c r="E843" s="20" t="n"/>
      <c r="F843" s="20" t="n"/>
      <c r="G843" s="19" t="n"/>
      <c r="H843" s="21">
        <f>IF(A843="","",YEAR(A843)*100+MONTH(A843))</f>
        <v/>
      </c>
    </row>
    <row r="844">
      <c r="A844" s="18" t="n"/>
      <c r="B844" s="19" t="n"/>
      <c r="C844" s="19" t="n"/>
      <c r="D844" s="19" t="n"/>
      <c r="E844" s="20" t="n"/>
      <c r="F844" s="20" t="n"/>
      <c r="G844" s="19" t="n"/>
      <c r="H844" s="21">
        <f>IF(A844="","",YEAR(A844)*100+MONTH(A844))</f>
        <v/>
      </c>
    </row>
    <row r="845">
      <c r="A845" s="18" t="n"/>
      <c r="B845" s="19" t="n"/>
      <c r="C845" s="19" t="n"/>
      <c r="D845" s="19" t="n"/>
      <c r="E845" s="20" t="n"/>
      <c r="F845" s="20" t="n"/>
      <c r="G845" s="19" t="n"/>
      <c r="H845" s="21">
        <f>IF(A845="","",YEAR(A845)*100+MONTH(A845))</f>
        <v/>
      </c>
    </row>
    <row r="846">
      <c r="A846" s="18" t="n"/>
      <c r="B846" s="19" t="n"/>
      <c r="C846" s="19" t="n"/>
      <c r="D846" s="19" t="n"/>
      <c r="E846" s="20" t="n"/>
      <c r="F846" s="20" t="n"/>
      <c r="G846" s="19" t="n"/>
      <c r="H846" s="21">
        <f>IF(A846="","",YEAR(A846)*100+MONTH(A846))</f>
        <v/>
      </c>
    </row>
    <row r="847">
      <c r="A847" s="18" t="n"/>
      <c r="B847" s="19" t="n"/>
      <c r="C847" s="19" t="n"/>
      <c r="D847" s="19" t="n"/>
      <c r="E847" s="20" t="n"/>
      <c r="F847" s="20" t="n"/>
      <c r="G847" s="19" t="n"/>
      <c r="H847" s="21">
        <f>IF(A847="","",YEAR(A847)*100+MONTH(A847))</f>
        <v/>
      </c>
    </row>
    <row r="848">
      <c r="A848" s="18" t="n"/>
      <c r="B848" s="19" t="n"/>
      <c r="C848" s="19" t="n"/>
      <c r="D848" s="19" t="n"/>
      <c r="E848" s="20" t="n"/>
      <c r="F848" s="20" t="n"/>
      <c r="G848" s="19" t="n"/>
      <c r="H848" s="21">
        <f>IF(A848="","",YEAR(A848)*100+MONTH(A848))</f>
        <v/>
      </c>
    </row>
    <row r="849">
      <c r="A849" s="18" t="n"/>
      <c r="B849" s="19" t="n"/>
      <c r="C849" s="19" t="n"/>
      <c r="D849" s="19" t="n"/>
      <c r="E849" s="20" t="n"/>
      <c r="F849" s="20" t="n"/>
      <c r="G849" s="19" t="n"/>
      <c r="H849" s="21">
        <f>IF(A849="","",YEAR(A849)*100+MONTH(A849))</f>
        <v/>
      </c>
    </row>
    <row r="850">
      <c r="A850" s="18" t="n"/>
      <c r="B850" s="19" t="n"/>
      <c r="C850" s="19" t="n"/>
      <c r="D850" s="19" t="n"/>
      <c r="E850" s="20" t="n"/>
      <c r="F850" s="20" t="n"/>
      <c r="G850" s="19" t="n"/>
      <c r="H850" s="21">
        <f>IF(A850="","",YEAR(A850)*100+MONTH(A850))</f>
        <v/>
      </c>
    </row>
    <row r="851">
      <c r="A851" s="18" t="n"/>
      <c r="B851" s="19" t="n"/>
      <c r="C851" s="19" t="n"/>
      <c r="D851" s="19" t="n"/>
      <c r="E851" s="20" t="n"/>
      <c r="F851" s="20" t="n"/>
      <c r="G851" s="19" t="n"/>
      <c r="H851" s="21">
        <f>IF(A851="","",YEAR(A851)*100+MONTH(A851))</f>
        <v/>
      </c>
    </row>
    <row r="852">
      <c r="A852" s="18" t="n"/>
      <c r="B852" s="19" t="n"/>
      <c r="C852" s="19" t="n"/>
      <c r="D852" s="19" t="n"/>
      <c r="E852" s="20" t="n"/>
      <c r="F852" s="20" t="n"/>
      <c r="G852" s="19" t="n"/>
      <c r="H852" s="21">
        <f>IF(A852="","",YEAR(A852)*100+MONTH(A852))</f>
        <v/>
      </c>
    </row>
    <row r="853">
      <c r="A853" s="18" t="n"/>
      <c r="B853" s="19" t="n"/>
      <c r="C853" s="19" t="n"/>
      <c r="D853" s="19" t="n"/>
      <c r="E853" s="20" t="n"/>
      <c r="F853" s="20" t="n"/>
      <c r="G853" s="19" t="n"/>
      <c r="H853" s="21">
        <f>IF(A853="","",YEAR(A853)*100+MONTH(A853))</f>
        <v/>
      </c>
    </row>
    <row r="854">
      <c r="A854" s="18" t="n"/>
      <c r="B854" s="19" t="n"/>
      <c r="C854" s="19" t="n"/>
      <c r="D854" s="19" t="n"/>
      <c r="E854" s="20" t="n"/>
      <c r="F854" s="20" t="n"/>
      <c r="G854" s="19" t="n"/>
      <c r="H854" s="21">
        <f>IF(A854="","",YEAR(A854)*100+MONTH(A854))</f>
        <v/>
      </c>
    </row>
    <row r="855">
      <c r="A855" s="18" t="n"/>
      <c r="B855" s="19" t="n"/>
      <c r="C855" s="19" t="n"/>
      <c r="D855" s="19" t="n"/>
      <c r="E855" s="20" t="n"/>
      <c r="F855" s="20" t="n"/>
      <c r="G855" s="19" t="n"/>
      <c r="H855" s="21">
        <f>IF(A855="","",YEAR(A855)*100+MONTH(A855))</f>
        <v/>
      </c>
    </row>
    <row r="856">
      <c r="A856" s="18" t="n"/>
      <c r="B856" s="19" t="n"/>
      <c r="C856" s="19" t="n"/>
      <c r="D856" s="19" t="n"/>
      <c r="E856" s="20" t="n"/>
      <c r="F856" s="20" t="n"/>
      <c r="G856" s="19" t="n"/>
      <c r="H856" s="21">
        <f>IF(A856="","",YEAR(A856)*100+MONTH(A856))</f>
        <v/>
      </c>
    </row>
    <row r="857">
      <c r="A857" s="18" t="n"/>
      <c r="B857" s="19" t="n"/>
      <c r="C857" s="19" t="n"/>
      <c r="D857" s="19" t="n"/>
      <c r="E857" s="20" t="n"/>
      <c r="F857" s="20" t="n"/>
      <c r="G857" s="19" t="n"/>
      <c r="H857" s="21">
        <f>IF(A857="","",YEAR(A857)*100+MONTH(A857))</f>
        <v/>
      </c>
    </row>
    <row r="858">
      <c r="A858" s="18" t="n"/>
      <c r="B858" s="19" t="n"/>
      <c r="C858" s="19" t="n"/>
      <c r="D858" s="19" t="n"/>
      <c r="E858" s="20" t="n"/>
      <c r="F858" s="20" t="n"/>
      <c r="G858" s="19" t="n"/>
      <c r="H858" s="21">
        <f>IF(A858="","",YEAR(A858)*100+MONTH(A858))</f>
        <v/>
      </c>
    </row>
    <row r="859">
      <c r="A859" s="18" t="n"/>
      <c r="B859" s="19" t="n"/>
      <c r="C859" s="19" t="n"/>
      <c r="D859" s="19" t="n"/>
      <c r="E859" s="20" t="n"/>
      <c r="F859" s="20" t="n"/>
      <c r="G859" s="19" t="n"/>
      <c r="H859" s="21">
        <f>IF(A859="","",YEAR(A859)*100+MONTH(A859))</f>
        <v/>
      </c>
    </row>
    <row r="860">
      <c r="A860" s="18" t="n"/>
      <c r="B860" s="19" t="n"/>
      <c r="C860" s="19" t="n"/>
      <c r="D860" s="19" t="n"/>
      <c r="E860" s="20" t="n"/>
      <c r="F860" s="20" t="n"/>
      <c r="G860" s="19" t="n"/>
      <c r="H860" s="21">
        <f>IF(A860="","",YEAR(A860)*100+MONTH(A860))</f>
        <v/>
      </c>
    </row>
    <row r="861">
      <c r="A861" s="18" t="n"/>
      <c r="B861" s="19" t="n"/>
      <c r="C861" s="19" t="n"/>
      <c r="D861" s="19" t="n"/>
      <c r="E861" s="20" t="n"/>
      <c r="F861" s="20" t="n"/>
      <c r="G861" s="19" t="n"/>
      <c r="H861" s="21">
        <f>IF(A861="","",YEAR(A861)*100+MONTH(A861))</f>
        <v/>
      </c>
    </row>
    <row r="862">
      <c r="A862" s="18" t="n"/>
      <c r="B862" s="19" t="n"/>
      <c r="C862" s="19" t="n"/>
      <c r="D862" s="19" t="n"/>
      <c r="E862" s="20" t="n"/>
      <c r="F862" s="20" t="n"/>
      <c r="G862" s="19" t="n"/>
      <c r="H862" s="21">
        <f>IF(A862="","",YEAR(A862)*100+MONTH(A862))</f>
        <v/>
      </c>
    </row>
    <row r="863">
      <c r="A863" s="18" t="n"/>
      <c r="B863" s="19" t="n"/>
      <c r="C863" s="19" t="n"/>
      <c r="D863" s="19" t="n"/>
      <c r="E863" s="20" t="n"/>
      <c r="F863" s="20" t="n"/>
      <c r="G863" s="19" t="n"/>
      <c r="H863" s="21">
        <f>IF(A863="","",YEAR(A863)*100+MONTH(A863))</f>
        <v/>
      </c>
    </row>
    <row r="864">
      <c r="A864" s="18" t="n"/>
      <c r="B864" s="19" t="n"/>
      <c r="C864" s="19" t="n"/>
      <c r="D864" s="19" t="n"/>
      <c r="E864" s="20" t="n"/>
      <c r="F864" s="20" t="n"/>
      <c r="G864" s="19" t="n"/>
      <c r="H864" s="21">
        <f>IF(A864="","",YEAR(A864)*100+MONTH(A864))</f>
        <v/>
      </c>
    </row>
    <row r="865">
      <c r="A865" s="18" t="n"/>
      <c r="B865" s="19" t="n"/>
      <c r="C865" s="19" t="n"/>
      <c r="D865" s="19" t="n"/>
      <c r="E865" s="20" t="n"/>
      <c r="F865" s="20" t="n"/>
      <c r="G865" s="19" t="n"/>
      <c r="H865" s="21">
        <f>IF(A865="","",YEAR(A865)*100+MONTH(A865))</f>
        <v/>
      </c>
    </row>
    <row r="866">
      <c r="A866" s="18" t="n"/>
      <c r="B866" s="19" t="n"/>
      <c r="C866" s="19" t="n"/>
      <c r="D866" s="19" t="n"/>
      <c r="E866" s="20" t="n"/>
      <c r="F866" s="20" t="n"/>
      <c r="G866" s="19" t="n"/>
      <c r="H866" s="21">
        <f>IF(A866="","",YEAR(A866)*100+MONTH(A866))</f>
        <v/>
      </c>
    </row>
    <row r="867">
      <c r="A867" s="18" t="n"/>
      <c r="B867" s="19" t="n"/>
      <c r="C867" s="19" t="n"/>
      <c r="D867" s="19" t="n"/>
      <c r="E867" s="20" t="n"/>
      <c r="F867" s="20" t="n"/>
      <c r="G867" s="19" t="n"/>
      <c r="H867" s="21">
        <f>IF(A867="","",YEAR(A867)*100+MONTH(A867))</f>
        <v/>
      </c>
    </row>
    <row r="868">
      <c r="A868" s="18" t="n"/>
      <c r="B868" s="19" t="n"/>
      <c r="C868" s="19" t="n"/>
      <c r="D868" s="19" t="n"/>
      <c r="E868" s="20" t="n"/>
      <c r="F868" s="20" t="n"/>
      <c r="G868" s="19" t="n"/>
      <c r="H868" s="21">
        <f>IF(A868="","",YEAR(A868)*100+MONTH(A868))</f>
        <v/>
      </c>
    </row>
    <row r="869">
      <c r="A869" s="18" t="n"/>
      <c r="B869" s="19" t="n"/>
      <c r="C869" s="19" t="n"/>
      <c r="D869" s="19" t="n"/>
      <c r="E869" s="20" t="n"/>
      <c r="F869" s="20" t="n"/>
      <c r="G869" s="19" t="n"/>
      <c r="H869" s="21">
        <f>IF(A869="","",YEAR(A869)*100+MONTH(A869))</f>
        <v/>
      </c>
    </row>
    <row r="870">
      <c r="A870" s="18" t="n"/>
      <c r="B870" s="19" t="n"/>
      <c r="C870" s="19" t="n"/>
      <c r="D870" s="19" t="n"/>
      <c r="E870" s="20" t="n"/>
      <c r="F870" s="20" t="n"/>
      <c r="G870" s="19" t="n"/>
      <c r="H870" s="21">
        <f>IF(A870="","",YEAR(A870)*100+MONTH(A870))</f>
        <v/>
      </c>
    </row>
    <row r="871">
      <c r="A871" s="18" t="n"/>
      <c r="B871" s="19" t="n"/>
      <c r="C871" s="19" t="n"/>
      <c r="D871" s="19" t="n"/>
      <c r="E871" s="20" t="n"/>
      <c r="F871" s="20" t="n"/>
      <c r="G871" s="19" t="n"/>
      <c r="H871" s="21">
        <f>IF(A871="","",YEAR(A871)*100+MONTH(A871))</f>
        <v/>
      </c>
    </row>
    <row r="872">
      <c r="A872" s="18" t="n"/>
      <c r="B872" s="19" t="n"/>
      <c r="C872" s="19" t="n"/>
      <c r="D872" s="19" t="n"/>
      <c r="E872" s="20" t="n"/>
      <c r="F872" s="20" t="n"/>
      <c r="G872" s="19" t="n"/>
      <c r="H872" s="21">
        <f>IF(A872="","",YEAR(A872)*100+MONTH(A872))</f>
        <v/>
      </c>
    </row>
    <row r="873">
      <c r="A873" s="18" t="n"/>
      <c r="B873" s="19" t="n"/>
      <c r="C873" s="19" t="n"/>
      <c r="D873" s="19" t="n"/>
      <c r="E873" s="20" t="n"/>
      <c r="F873" s="20" t="n"/>
      <c r="G873" s="19" t="n"/>
      <c r="H873" s="21">
        <f>IF(A873="","",YEAR(A873)*100+MONTH(A873))</f>
        <v/>
      </c>
    </row>
    <row r="874">
      <c r="A874" s="18" t="n"/>
      <c r="B874" s="19" t="n"/>
      <c r="C874" s="19" t="n"/>
      <c r="D874" s="19" t="n"/>
      <c r="E874" s="20" t="n"/>
      <c r="F874" s="20" t="n"/>
      <c r="G874" s="19" t="n"/>
      <c r="H874" s="21">
        <f>IF(A874="","",YEAR(A874)*100+MONTH(A874))</f>
        <v/>
      </c>
    </row>
    <row r="875">
      <c r="A875" s="18" t="n"/>
      <c r="B875" s="19" t="n"/>
      <c r="C875" s="19" t="n"/>
      <c r="D875" s="19" t="n"/>
      <c r="E875" s="20" t="n"/>
      <c r="F875" s="20" t="n"/>
      <c r="G875" s="19" t="n"/>
      <c r="H875" s="21">
        <f>IF(A875="","",YEAR(A875)*100+MONTH(A875))</f>
        <v/>
      </c>
    </row>
    <row r="876">
      <c r="A876" s="18" t="n"/>
      <c r="B876" s="19" t="n"/>
      <c r="C876" s="19" t="n"/>
      <c r="D876" s="19" t="n"/>
      <c r="E876" s="20" t="n"/>
      <c r="F876" s="20" t="n"/>
      <c r="G876" s="19" t="n"/>
      <c r="H876" s="21">
        <f>IF(A876="","",YEAR(A876)*100+MONTH(A876))</f>
        <v/>
      </c>
    </row>
    <row r="877">
      <c r="A877" s="18" t="n"/>
      <c r="B877" s="19" t="n"/>
      <c r="C877" s="19" t="n"/>
      <c r="D877" s="19" t="n"/>
      <c r="E877" s="20" t="n"/>
      <c r="F877" s="20" t="n"/>
      <c r="G877" s="19" t="n"/>
      <c r="H877" s="21">
        <f>IF(A877="","",YEAR(A877)*100+MONTH(A877))</f>
        <v/>
      </c>
    </row>
    <row r="878">
      <c r="A878" s="18" t="n"/>
      <c r="B878" s="19" t="n"/>
      <c r="C878" s="19" t="n"/>
      <c r="D878" s="19" t="n"/>
      <c r="E878" s="20" t="n"/>
      <c r="F878" s="20" t="n"/>
      <c r="G878" s="19" t="n"/>
      <c r="H878" s="21">
        <f>IF(A878="","",YEAR(A878)*100+MONTH(A878))</f>
        <v/>
      </c>
    </row>
    <row r="879">
      <c r="A879" s="18" t="n"/>
      <c r="B879" s="19" t="n"/>
      <c r="C879" s="19" t="n"/>
      <c r="D879" s="19" t="n"/>
      <c r="E879" s="20" t="n"/>
      <c r="F879" s="20" t="n"/>
      <c r="G879" s="19" t="n"/>
      <c r="H879" s="21">
        <f>IF(A879="","",YEAR(A879)*100+MONTH(A879))</f>
        <v/>
      </c>
    </row>
    <row r="880">
      <c r="A880" s="18" t="n"/>
      <c r="B880" s="19" t="n"/>
      <c r="C880" s="19" t="n"/>
      <c r="D880" s="19" t="n"/>
      <c r="E880" s="20" t="n"/>
      <c r="F880" s="20" t="n"/>
      <c r="G880" s="19" t="n"/>
      <c r="H880" s="21">
        <f>IF(A880="","",YEAR(A880)*100+MONTH(A880))</f>
        <v/>
      </c>
    </row>
    <row r="881">
      <c r="A881" s="18" t="n"/>
      <c r="B881" s="19" t="n"/>
      <c r="C881" s="19" t="n"/>
      <c r="D881" s="19" t="n"/>
      <c r="E881" s="20" t="n"/>
      <c r="F881" s="20" t="n"/>
      <c r="G881" s="19" t="n"/>
      <c r="H881" s="21">
        <f>IF(A881="","",YEAR(A881)*100+MONTH(A881))</f>
        <v/>
      </c>
    </row>
    <row r="882">
      <c r="A882" s="18" t="n"/>
      <c r="B882" s="19" t="n"/>
      <c r="C882" s="19" t="n"/>
      <c r="D882" s="19" t="n"/>
      <c r="E882" s="20" t="n"/>
      <c r="F882" s="20" t="n"/>
      <c r="G882" s="19" t="n"/>
      <c r="H882" s="21">
        <f>IF(A882="","",YEAR(A882)*100+MONTH(A882))</f>
        <v/>
      </c>
    </row>
    <row r="883">
      <c r="A883" s="18" t="n"/>
      <c r="B883" s="19" t="n"/>
      <c r="C883" s="19" t="n"/>
      <c r="D883" s="19" t="n"/>
      <c r="E883" s="20" t="n"/>
      <c r="F883" s="20" t="n"/>
      <c r="G883" s="19" t="n"/>
      <c r="H883" s="21">
        <f>IF(A883="","",YEAR(A883)*100+MONTH(A883))</f>
        <v/>
      </c>
    </row>
    <row r="884">
      <c r="A884" s="18" t="n"/>
      <c r="B884" s="19" t="n"/>
      <c r="C884" s="19" t="n"/>
      <c r="D884" s="19" t="n"/>
      <c r="E884" s="20" t="n"/>
      <c r="F884" s="20" t="n"/>
      <c r="G884" s="19" t="n"/>
      <c r="H884" s="21">
        <f>IF(A884="","",YEAR(A884)*100+MONTH(A884))</f>
        <v/>
      </c>
    </row>
    <row r="885">
      <c r="A885" s="18" t="n"/>
      <c r="B885" s="19" t="n"/>
      <c r="C885" s="19" t="n"/>
      <c r="D885" s="19" t="n"/>
      <c r="E885" s="20" t="n"/>
      <c r="F885" s="20" t="n"/>
      <c r="G885" s="19" t="n"/>
      <c r="H885" s="21">
        <f>IF(A885="","",YEAR(A885)*100+MONTH(A885))</f>
        <v/>
      </c>
    </row>
    <row r="886">
      <c r="A886" s="18" t="n"/>
      <c r="B886" s="19" t="n"/>
      <c r="C886" s="19" t="n"/>
      <c r="D886" s="19" t="n"/>
      <c r="E886" s="20" t="n"/>
      <c r="F886" s="20" t="n"/>
      <c r="G886" s="19" t="n"/>
      <c r="H886" s="21">
        <f>IF(A886="","",YEAR(A886)*100+MONTH(A886))</f>
        <v/>
      </c>
    </row>
    <row r="887">
      <c r="A887" s="18" t="n"/>
      <c r="B887" s="19" t="n"/>
      <c r="C887" s="19" t="n"/>
      <c r="D887" s="19" t="n"/>
      <c r="E887" s="20" t="n"/>
      <c r="F887" s="20" t="n"/>
      <c r="G887" s="19" t="n"/>
      <c r="H887" s="21">
        <f>IF(A887="","",YEAR(A887)*100+MONTH(A887))</f>
        <v/>
      </c>
    </row>
    <row r="888">
      <c r="A888" s="18" t="n"/>
      <c r="B888" s="19" t="n"/>
      <c r="C888" s="19" t="n"/>
      <c r="D888" s="19" t="n"/>
      <c r="E888" s="20" t="n"/>
      <c r="F888" s="20" t="n"/>
      <c r="G888" s="19" t="n"/>
      <c r="H888" s="21">
        <f>IF(A888="","",YEAR(A888)*100+MONTH(A888))</f>
        <v/>
      </c>
    </row>
    <row r="889">
      <c r="A889" s="18" t="n"/>
      <c r="B889" s="19" t="n"/>
      <c r="C889" s="19" t="n"/>
      <c r="D889" s="19" t="n"/>
      <c r="E889" s="20" t="n"/>
      <c r="F889" s="20" t="n"/>
      <c r="G889" s="19" t="n"/>
      <c r="H889" s="21">
        <f>IF(A889="","",YEAR(A889)*100+MONTH(A889))</f>
        <v/>
      </c>
    </row>
    <row r="890">
      <c r="A890" s="18" t="n"/>
      <c r="B890" s="19" t="n"/>
      <c r="C890" s="19" t="n"/>
      <c r="D890" s="19" t="n"/>
      <c r="E890" s="20" t="n"/>
      <c r="F890" s="20" t="n"/>
      <c r="G890" s="19" t="n"/>
      <c r="H890" s="21">
        <f>IF(A890="","",YEAR(A890)*100+MONTH(A890))</f>
        <v/>
      </c>
    </row>
    <row r="891">
      <c r="A891" s="18" t="n"/>
      <c r="B891" s="19" t="n"/>
      <c r="C891" s="19" t="n"/>
      <c r="D891" s="19" t="n"/>
      <c r="E891" s="20" t="n"/>
      <c r="F891" s="20" t="n"/>
      <c r="G891" s="19" t="n"/>
      <c r="H891" s="21">
        <f>IF(A891="","",YEAR(A891)*100+MONTH(A891))</f>
        <v/>
      </c>
    </row>
    <row r="892">
      <c r="A892" s="18" t="n"/>
      <c r="B892" s="19" t="n"/>
      <c r="C892" s="19" t="n"/>
      <c r="D892" s="19" t="n"/>
      <c r="E892" s="20" t="n"/>
      <c r="F892" s="20" t="n"/>
      <c r="G892" s="19" t="n"/>
      <c r="H892" s="21">
        <f>IF(A892="","",YEAR(A892)*100+MONTH(A892))</f>
        <v/>
      </c>
    </row>
    <row r="893">
      <c r="A893" s="18" t="n"/>
      <c r="B893" s="19" t="n"/>
      <c r="C893" s="19" t="n"/>
      <c r="D893" s="19" t="n"/>
      <c r="E893" s="20" t="n"/>
      <c r="F893" s="20" t="n"/>
      <c r="G893" s="19" t="n"/>
      <c r="H893" s="21">
        <f>IF(A893="","",YEAR(A893)*100+MONTH(A893))</f>
        <v/>
      </c>
    </row>
    <row r="894">
      <c r="A894" s="18" t="n"/>
      <c r="B894" s="19" t="n"/>
      <c r="C894" s="19" t="n"/>
      <c r="D894" s="19" t="n"/>
      <c r="E894" s="20" t="n"/>
      <c r="F894" s="20" t="n"/>
      <c r="G894" s="19" t="n"/>
      <c r="H894" s="21">
        <f>IF(A894="","",YEAR(A894)*100+MONTH(A894))</f>
        <v/>
      </c>
    </row>
    <row r="895">
      <c r="A895" s="18" t="n"/>
      <c r="B895" s="19" t="n"/>
      <c r="C895" s="19" t="n"/>
      <c r="D895" s="19" t="n"/>
      <c r="E895" s="20" t="n"/>
      <c r="F895" s="20" t="n"/>
      <c r="G895" s="19" t="n"/>
      <c r="H895" s="21">
        <f>IF(A895="","",YEAR(A895)*100+MONTH(A895))</f>
        <v/>
      </c>
    </row>
    <row r="896">
      <c r="A896" s="18" t="n"/>
      <c r="B896" s="19" t="n"/>
      <c r="C896" s="19" t="n"/>
      <c r="D896" s="19" t="n"/>
      <c r="E896" s="20" t="n"/>
      <c r="F896" s="20" t="n"/>
      <c r="G896" s="19" t="n"/>
      <c r="H896" s="21">
        <f>IF(A896="","",YEAR(A896)*100+MONTH(A896))</f>
        <v/>
      </c>
    </row>
    <row r="897">
      <c r="A897" s="18" t="n"/>
      <c r="B897" s="19" t="n"/>
      <c r="C897" s="19" t="n"/>
      <c r="D897" s="19" t="n"/>
      <c r="E897" s="20" t="n"/>
      <c r="F897" s="20" t="n"/>
      <c r="G897" s="19" t="n"/>
      <c r="H897" s="21">
        <f>IF(A897="","",YEAR(A897)*100+MONTH(A897))</f>
        <v/>
      </c>
    </row>
    <row r="898">
      <c r="A898" s="18" t="n"/>
      <c r="B898" s="19" t="n"/>
      <c r="C898" s="19" t="n"/>
      <c r="D898" s="19" t="n"/>
      <c r="E898" s="20" t="n"/>
      <c r="F898" s="20" t="n"/>
      <c r="G898" s="19" t="n"/>
      <c r="H898" s="21">
        <f>IF(A898="","",YEAR(A898)*100+MONTH(A898))</f>
        <v/>
      </c>
    </row>
    <row r="899">
      <c r="A899" s="18" t="n"/>
      <c r="B899" s="19" t="n"/>
      <c r="C899" s="19" t="n"/>
      <c r="D899" s="19" t="n"/>
      <c r="E899" s="20" t="n"/>
      <c r="F899" s="20" t="n"/>
      <c r="G899" s="19" t="n"/>
      <c r="H899" s="21">
        <f>IF(A899="","",YEAR(A899)*100+MONTH(A899))</f>
        <v/>
      </c>
    </row>
    <row r="900">
      <c r="A900" s="18" t="n"/>
      <c r="B900" s="19" t="n"/>
      <c r="C900" s="19" t="n"/>
      <c r="D900" s="19" t="n"/>
      <c r="E900" s="20" t="n"/>
      <c r="F900" s="20" t="n"/>
      <c r="G900" s="19" t="n"/>
      <c r="H900" s="21">
        <f>IF(A900="","",YEAR(A900)*100+MONTH(A900))</f>
        <v/>
      </c>
    </row>
    <row r="901">
      <c r="A901" s="18" t="n"/>
      <c r="B901" s="19" t="n"/>
      <c r="C901" s="19" t="n"/>
      <c r="D901" s="19" t="n"/>
      <c r="E901" s="20" t="n"/>
      <c r="F901" s="20" t="n"/>
      <c r="G901" s="19" t="n"/>
      <c r="H901" s="21">
        <f>IF(A901="","",YEAR(A901)*100+MONTH(A901))</f>
        <v/>
      </c>
    </row>
    <row r="902">
      <c r="A902" s="18" t="n"/>
      <c r="B902" s="19" t="n"/>
      <c r="C902" s="19" t="n"/>
      <c r="D902" s="19" t="n"/>
      <c r="E902" s="20" t="n"/>
      <c r="F902" s="20" t="n"/>
      <c r="G902" s="19" t="n"/>
      <c r="H902" s="21">
        <f>IF(A902="","",YEAR(A902)*100+MONTH(A902))</f>
        <v/>
      </c>
    </row>
    <row r="903">
      <c r="A903" s="18" t="n"/>
      <c r="B903" s="19" t="n"/>
      <c r="C903" s="19" t="n"/>
      <c r="D903" s="19" t="n"/>
      <c r="E903" s="20" t="n"/>
      <c r="F903" s="20" t="n"/>
      <c r="G903" s="19" t="n"/>
      <c r="H903" s="21">
        <f>IF(A903="","",YEAR(A903)*100+MONTH(A903))</f>
        <v/>
      </c>
    </row>
    <row r="904">
      <c r="A904" s="18" t="n"/>
      <c r="B904" s="19" t="n"/>
      <c r="C904" s="19" t="n"/>
      <c r="D904" s="19" t="n"/>
      <c r="E904" s="20" t="n"/>
      <c r="F904" s="20" t="n"/>
      <c r="G904" s="19" t="n"/>
      <c r="H904" s="21">
        <f>IF(A904="","",YEAR(A904)*100+MONTH(A904))</f>
        <v/>
      </c>
    </row>
    <row r="905">
      <c r="A905" s="18" t="n"/>
      <c r="B905" s="19" t="n"/>
      <c r="C905" s="19" t="n"/>
      <c r="D905" s="19" t="n"/>
      <c r="E905" s="20" t="n"/>
      <c r="F905" s="20" t="n"/>
      <c r="G905" s="19" t="n"/>
      <c r="H905" s="21">
        <f>IF(A905="","",YEAR(A905)*100+MONTH(A905))</f>
        <v/>
      </c>
    </row>
    <row r="906">
      <c r="A906" s="18" t="n"/>
      <c r="B906" s="19" t="n"/>
      <c r="C906" s="19" t="n"/>
      <c r="D906" s="19" t="n"/>
      <c r="E906" s="20" t="n"/>
      <c r="F906" s="20" t="n"/>
      <c r="G906" s="19" t="n"/>
      <c r="H906" s="21">
        <f>IF(A906="","",YEAR(A906)*100+MONTH(A906))</f>
        <v/>
      </c>
    </row>
    <row r="907">
      <c r="A907" s="18" t="n"/>
      <c r="B907" s="19" t="n"/>
      <c r="C907" s="19" t="n"/>
      <c r="D907" s="19" t="n"/>
      <c r="E907" s="20" t="n"/>
      <c r="F907" s="20" t="n"/>
      <c r="G907" s="19" t="n"/>
      <c r="H907" s="21">
        <f>IF(A907="","",YEAR(A907)*100+MONTH(A907))</f>
        <v/>
      </c>
    </row>
    <row r="908">
      <c r="A908" s="18" t="n"/>
      <c r="B908" s="19" t="n"/>
      <c r="C908" s="19" t="n"/>
      <c r="D908" s="19" t="n"/>
      <c r="E908" s="20" t="n"/>
      <c r="F908" s="20" t="n"/>
      <c r="G908" s="19" t="n"/>
      <c r="H908" s="21">
        <f>IF(A908="","",YEAR(A908)*100+MONTH(A908))</f>
        <v/>
      </c>
    </row>
    <row r="909">
      <c r="A909" s="18" t="n"/>
      <c r="B909" s="19" t="n"/>
      <c r="C909" s="19" t="n"/>
      <c r="D909" s="19" t="n"/>
      <c r="E909" s="20" t="n"/>
      <c r="F909" s="20" t="n"/>
      <c r="G909" s="19" t="n"/>
      <c r="H909" s="21">
        <f>IF(A909="","",YEAR(A909)*100+MONTH(A909))</f>
        <v/>
      </c>
    </row>
    <row r="910">
      <c r="A910" s="18" t="n"/>
      <c r="B910" s="19" t="n"/>
      <c r="C910" s="19" t="n"/>
      <c r="D910" s="19" t="n"/>
      <c r="E910" s="20" t="n"/>
      <c r="F910" s="20" t="n"/>
      <c r="G910" s="19" t="n"/>
      <c r="H910" s="21">
        <f>IF(A910="","",YEAR(A910)*100+MONTH(A910))</f>
        <v/>
      </c>
    </row>
    <row r="911">
      <c r="A911" s="18" t="n"/>
      <c r="B911" s="19" t="n"/>
      <c r="C911" s="19" t="n"/>
      <c r="D911" s="19" t="n"/>
      <c r="E911" s="20" t="n"/>
      <c r="F911" s="20" t="n"/>
      <c r="G911" s="19" t="n"/>
      <c r="H911" s="21">
        <f>IF(A911="","",YEAR(A911)*100+MONTH(A911))</f>
        <v/>
      </c>
    </row>
    <row r="912">
      <c r="A912" s="18" t="n"/>
      <c r="B912" s="19" t="n"/>
      <c r="C912" s="19" t="n"/>
      <c r="D912" s="19" t="n"/>
      <c r="E912" s="20" t="n"/>
      <c r="F912" s="20" t="n"/>
      <c r="G912" s="19" t="n"/>
      <c r="H912" s="21">
        <f>IF(A912="","",YEAR(A912)*100+MONTH(A912))</f>
        <v/>
      </c>
    </row>
    <row r="913">
      <c r="A913" s="18" t="n"/>
      <c r="B913" s="19" t="n"/>
      <c r="C913" s="19" t="n"/>
      <c r="D913" s="19" t="n"/>
      <c r="E913" s="20" t="n"/>
      <c r="F913" s="20" t="n"/>
      <c r="G913" s="19" t="n"/>
      <c r="H913" s="21">
        <f>IF(A913="","",YEAR(A913)*100+MONTH(A913))</f>
        <v/>
      </c>
    </row>
    <row r="914">
      <c r="A914" s="18" t="n"/>
      <c r="B914" s="19" t="n"/>
      <c r="C914" s="19" t="n"/>
      <c r="D914" s="19" t="n"/>
      <c r="E914" s="20" t="n"/>
      <c r="F914" s="20" t="n"/>
      <c r="G914" s="19" t="n"/>
      <c r="H914" s="21">
        <f>IF(A914="","",YEAR(A914)*100+MONTH(A914))</f>
        <v/>
      </c>
    </row>
    <row r="915">
      <c r="A915" s="18" t="n"/>
      <c r="B915" s="19" t="n"/>
      <c r="C915" s="19" t="n"/>
      <c r="D915" s="19" t="n"/>
      <c r="E915" s="20" t="n"/>
      <c r="F915" s="20" t="n"/>
      <c r="G915" s="19" t="n"/>
      <c r="H915" s="21">
        <f>IF(A915="","",YEAR(A915)*100+MONTH(A915))</f>
        <v/>
      </c>
    </row>
    <row r="916">
      <c r="A916" s="18" t="n"/>
      <c r="B916" s="19" t="n"/>
      <c r="C916" s="19" t="n"/>
      <c r="D916" s="19" t="n"/>
      <c r="E916" s="20" t="n"/>
      <c r="F916" s="20" t="n"/>
      <c r="G916" s="19" t="n"/>
      <c r="H916" s="21">
        <f>IF(A916="","",YEAR(A916)*100+MONTH(A916))</f>
        <v/>
      </c>
    </row>
    <row r="917">
      <c r="A917" s="18" t="n"/>
      <c r="B917" s="19" t="n"/>
      <c r="C917" s="19" t="n"/>
      <c r="D917" s="19" t="n"/>
      <c r="E917" s="20" t="n"/>
      <c r="F917" s="20" t="n"/>
      <c r="G917" s="19" t="n"/>
      <c r="H917" s="21">
        <f>IF(A917="","",YEAR(A917)*100+MONTH(A917))</f>
        <v/>
      </c>
    </row>
    <row r="918">
      <c r="A918" s="18" t="n"/>
      <c r="B918" s="19" t="n"/>
      <c r="C918" s="19" t="n"/>
      <c r="D918" s="19" t="n"/>
      <c r="E918" s="20" t="n"/>
      <c r="F918" s="20" t="n"/>
      <c r="G918" s="19" t="n"/>
      <c r="H918" s="21">
        <f>IF(A918="","",YEAR(A918)*100+MONTH(A918))</f>
        <v/>
      </c>
    </row>
    <row r="919">
      <c r="A919" s="18" t="n"/>
      <c r="B919" s="19" t="n"/>
      <c r="C919" s="19" t="n"/>
      <c r="D919" s="19" t="n"/>
      <c r="E919" s="20" t="n"/>
      <c r="F919" s="20" t="n"/>
      <c r="G919" s="19" t="n"/>
      <c r="H919" s="21">
        <f>IF(A919="","",YEAR(A919)*100+MONTH(A919))</f>
        <v/>
      </c>
    </row>
    <row r="920">
      <c r="A920" s="18" t="n"/>
      <c r="B920" s="19" t="n"/>
      <c r="C920" s="19" t="n"/>
      <c r="D920" s="19" t="n"/>
      <c r="E920" s="20" t="n"/>
      <c r="F920" s="20" t="n"/>
      <c r="G920" s="19" t="n"/>
      <c r="H920" s="21">
        <f>IF(A920="","",YEAR(A920)*100+MONTH(A920))</f>
        <v/>
      </c>
    </row>
    <row r="921">
      <c r="A921" s="18" t="n"/>
      <c r="B921" s="19" t="n"/>
      <c r="C921" s="19" t="n"/>
      <c r="D921" s="19" t="n"/>
      <c r="E921" s="20" t="n"/>
      <c r="F921" s="20" t="n"/>
      <c r="G921" s="19" t="n"/>
      <c r="H921" s="21">
        <f>IF(A921="","",YEAR(A921)*100+MONTH(A921))</f>
        <v/>
      </c>
    </row>
    <row r="922">
      <c r="A922" s="18" t="n"/>
      <c r="B922" s="19" t="n"/>
      <c r="C922" s="19" t="n"/>
      <c r="D922" s="19" t="n"/>
      <c r="E922" s="20" t="n"/>
      <c r="F922" s="20" t="n"/>
      <c r="G922" s="19" t="n"/>
      <c r="H922" s="21">
        <f>IF(A922="","",YEAR(A922)*100+MONTH(A922))</f>
        <v/>
      </c>
    </row>
    <row r="923">
      <c r="A923" s="18" t="n"/>
      <c r="B923" s="19" t="n"/>
      <c r="C923" s="19" t="n"/>
      <c r="D923" s="19" t="n"/>
      <c r="E923" s="20" t="n"/>
      <c r="F923" s="20" t="n"/>
      <c r="G923" s="19" t="n"/>
      <c r="H923" s="21">
        <f>IF(A923="","",YEAR(A923)*100+MONTH(A923))</f>
        <v/>
      </c>
    </row>
    <row r="924">
      <c r="A924" s="18" t="n"/>
      <c r="B924" s="19" t="n"/>
      <c r="C924" s="19" t="n"/>
      <c r="D924" s="19" t="n"/>
      <c r="E924" s="20" t="n"/>
      <c r="F924" s="20" t="n"/>
      <c r="G924" s="19" t="n"/>
      <c r="H924" s="21">
        <f>IF(A924="","",YEAR(A924)*100+MONTH(A924))</f>
        <v/>
      </c>
    </row>
    <row r="925">
      <c r="A925" s="18" t="n"/>
      <c r="B925" s="19" t="n"/>
      <c r="C925" s="19" t="n"/>
      <c r="D925" s="19" t="n"/>
      <c r="E925" s="20" t="n"/>
      <c r="F925" s="20" t="n"/>
      <c r="G925" s="19" t="n"/>
      <c r="H925" s="21">
        <f>IF(A925="","",YEAR(A925)*100+MONTH(A925))</f>
        <v/>
      </c>
    </row>
    <row r="926">
      <c r="A926" s="18" t="n"/>
      <c r="B926" s="19" t="n"/>
      <c r="C926" s="19" t="n"/>
      <c r="D926" s="19" t="n"/>
      <c r="E926" s="20" t="n"/>
      <c r="F926" s="20" t="n"/>
      <c r="G926" s="19" t="n"/>
      <c r="H926" s="21">
        <f>IF(A926="","",YEAR(A926)*100+MONTH(A926))</f>
        <v/>
      </c>
    </row>
    <row r="927">
      <c r="A927" s="18" t="n"/>
      <c r="B927" s="19" t="n"/>
      <c r="C927" s="19" t="n"/>
      <c r="D927" s="19" t="n"/>
      <c r="E927" s="20" t="n"/>
      <c r="F927" s="20" t="n"/>
      <c r="G927" s="19" t="n"/>
      <c r="H927" s="21">
        <f>IF(A927="","",YEAR(A927)*100+MONTH(A927))</f>
        <v/>
      </c>
    </row>
    <row r="928">
      <c r="A928" s="18" t="n"/>
      <c r="B928" s="19" t="n"/>
      <c r="C928" s="19" t="n"/>
      <c r="D928" s="19" t="n"/>
      <c r="E928" s="20" t="n"/>
      <c r="F928" s="20" t="n"/>
      <c r="G928" s="19" t="n"/>
      <c r="H928" s="21">
        <f>IF(A928="","",YEAR(A928)*100+MONTH(A928))</f>
        <v/>
      </c>
    </row>
    <row r="929">
      <c r="A929" s="18" t="n"/>
      <c r="B929" s="19" t="n"/>
      <c r="C929" s="19" t="n"/>
      <c r="D929" s="19" t="n"/>
      <c r="E929" s="20" t="n"/>
      <c r="F929" s="20" t="n"/>
      <c r="G929" s="19" t="n"/>
      <c r="H929" s="21">
        <f>IF(A929="","",YEAR(A929)*100+MONTH(A929))</f>
        <v/>
      </c>
    </row>
    <row r="930">
      <c r="A930" s="18" t="n"/>
      <c r="B930" s="19" t="n"/>
      <c r="C930" s="19" t="n"/>
      <c r="D930" s="19" t="n"/>
      <c r="E930" s="20" t="n"/>
      <c r="F930" s="20" t="n"/>
      <c r="G930" s="19" t="n"/>
      <c r="H930" s="21">
        <f>IF(A930="","",YEAR(A930)*100+MONTH(A930))</f>
        <v/>
      </c>
    </row>
    <row r="931">
      <c r="A931" s="18" t="n"/>
      <c r="B931" s="19" t="n"/>
      <c r="C931" s="19" t="n"/>
      <c r="D931" s="19" t="n"/>
      <c r="E931" s="20" t="n"/>
      <c r="F931" s="20" t="n"/>
      <c r="G931" s="19" t="n"/>
      <c r="H931" s="21">
        <f>IF(A931="","",YEAR(A931)*100+MONTH(A931))</f>
        <v/>
      </c>
    </row>
    <row r="932">
      <c r="A932" s="18" t="n"/>
      <c r="B932" s="19" t="n"/>
      <c r="C932" s="19" t="n"/>
      <c r="D932" s="19" t="n"/>
      <c r="E932" s="20" t="n"/>
      <c r="F932" s="20" t="n"/>
      <c r="G932" s="19" t="n"/>
      <c r="H932" s="21">
        <f>IF(A932="","",YEAR(A932)*100+MONTH(A932))</f>
        <v/>
      </c>
    </row>
    <row r="933">
      <c r="A933" s="18" t="n"/>
      <c r="B933" s="19" t="n"/>
      <c r="C933" s="19" t="n"/>
      <c r="D933" s="19" t="n"/>
      <c r="E933" s="20" t="n"/>
      <c r="F933" s="20" t="n"/>
      <c r="G933" s="19" t="n"/>
      <c r="H933" s="21">
        <f>IF(A933="","",YEAR(A933)*100+MONTH(A933))</f>
        <v/>
      </c>
    </row>
    <row r="934">
      <c r="A934" s="18" t="n"/>
      <c r="B934" s="19" t="n"/>
      <c r="C934" s="19" t="n"/>
      <c r="D934" s="19" t="n"/>
      <c r="E934" s="20" t="n"/>
      <c r="F934" s="20" t="n"/>
      <c r="G934" s="19" t="n"/>
      <c r="H934" s="21">
        <f>IF(A934="","",YEAR(A934)*100+MONTH(A934))</f>
        <v/>
      </c>
    </row>
    <row r="935">
      <c r="A935" s="18" t="n"/>
      <c r="B935" s="19" t="n"/>
      <c r="C935" s="19" t="n"/>
      <c r="D935" s="19" t="n"/>
      <c r="E935" s="20" t="n"/>
      <c r="F935" s="20" t="n"/>
      <c r="G935" s="19" t="n"/>
      <c r="H935" s="21">
        <f>IF(A935="","",YEAR(A935)*100+MONTH(A935))</f>
        <v/>
      </c>
    </row>
    <row r="936">
      <c r="A936" s="18" t="n"/>
      <c r="B936" s="19" t="n"/>
      <c r="C936" s="19" t="n"/>
      <c r="D936" s="19" t="n"/>
      <c r="E936" s="20" t="n"/>
      <c r="F936" s="20" t="n"/>
      <c r="G936" s="19" t="n"/>
      <c r="H936" s="21">
        <f>IF(A936="","",YEAR(A936)*100+MONTH(A936))</f>
        <v/>
      </c>
    </row>
    <row r="937">
      <c r="A937" s="18" t="n"/>
      <c r="B937" s="19" t="n"/>
      <c r="C937" s="19" t="n"/>
      <c r="D937" s="19" t="n"/>
      <c r="E937" s="20" t="n"/>
      <c r="F937" s="20" t="n"/>
      <c r="G937" s="19" t="n"/>
      <c r="H937" s="21">
        <f>IF(A937="","",YEAR(A937)*100+MONTH(A937))</f>
        <v/>
      </c>
    </row>
    <row r="938">
      <c r="A938" s="18" t="n"/>
      <c r="B938" s="19" t="n"/>
      <c r="C938" s="19" t="n"/>
      <c r="D938" s="19" t="n"/>
      <c r="E938" s="20" t="n"/>
      <c r="F938" s="20" t="n"/>
      <c r="G938" s="19" t="n"/>
      <c r="H938" s="21">
        <f>IF(A938="","",YEAR(A938)*100+MONTH(A938))</f>
        <v/>
      </c>
    </row>
    <row r="939">
      <c r="A939" s="18" t="n"/>
      <c r="B939" s="19" t="n"/>
      <c r="C939" s="19" t="n"/>
      <c r="D939" s="19" t="n"/>
      <c r="E939" s="20" t="n"/>
      <c r="F939" s="20" t="n"/>
      <c r="G939" s="19" t="n"/>
      <c r="H939" s="21">
        <f>IF(A939="","",YEAR(A939)*100+MONTH(A939))</f>
        <v/>
      </c>
    </row>
    <row r="940">
      <c r="A940" s="18" t="n"/>
      <c r="B940" s="19" t="n"/>
      <c r="C940" s="19" t="n"/>
      <c r="D940" s="19" t="n"/>
      <c r="E940" s="20" t="n"/>
      <c r="F940" s="20" t="n"/>
      <c r="G940" s="19" t="n"/>
      <c r="H940" s="21">
        <f>IF(A940="","",YEAR(A940)*100+MONTH(A940))</f>
        <v/>
      </c>
    </row>
    <row r="941">
      <c r="A941" s="18" t="n"/>
      <c r="B941" s="19" t="n"/>
      <c r="C941" s="19" t="n"/>
      <c r="D941" s="19" t="n"/>
      <c r="E941" s="20" t="n"/>
      <c r="F941" s="20" t="n"/>
      <c r="G941" s="19" t="n"/>
      <c r="H941" s="21">
        <f>IF(A941="","",YEAR(A941)*100+MONTH(A941))</f>
        <v/>
      </c>
    </row>
    <row r="942">
      <c r="A942" s="18" t="n"/>
      <c r="B942" s="19" t="n"/>
      <c r="C942" s="19" t="n"/>
      <c r="D942" s="19" t="n"/>
      <c r="E942" s="20" t="n"/>
      <c r="F942" s="20" t="n"/>
      <c r="G942" s="19" t="n"/>
      <c r="H942" s="21">
        <f>IF(A942="","",YEAR(A942)*100+MONTH(A942))</f>
        <v/>
      </c>
    </row>
    <row r="943">
      <c r="A943" s="18" t="n"/>
      <c r="B943" s="19" t="n"/>
      <c r="C943" s="19" t="n"/>
      <c r="D943" s="19" t="n"/>
      <c r="E943" s="20" t="n"/>
      <c r="F943" s="20" t="n"/>
      <c r="G943" s="19" t="n"/>
      <c r="H943" s="21">
        <f>IF(A943="","",YEAR(A943)*100+MONTH(A943))</f>
        <v/>
      </c>
    </row>
    <row r="944">
      <c r="A944" s="18" t="n"/>
      <c r="B944" s="19" t="n"/>
      <c r="C944" s="19" t="n"/>
      <c r="D944" s="19" t="n"/>
      <c r="E944" s="20" t="n"/>
      <c r="F944" s="20" t="n"/>
      <c r="G944" s="19" t="n"/>
      <c r="H944" s="21">
        <f>IF(A944="","",YEAR(A944)*100+MONTH(A944))</f>
        <v/>
      </c>
    </row>
    <row r="945">
      <c r="A945" s="18" t="n"/>
      <c r="B945" s="19" t="n"/>
      <c r="C945" s="19" t="n"/>
      <c r="D945" s="19" t="n"/>
      <c r="E945" s="20" t="n"/>
      <c r="F945" s="20" t="n"/>
      <c r="G945" s="19" t="n"/>
      <c r="H945" s="21">
        <f>IF(A945="","",YEAR(A945)*100+MONTH(A945))</f>
        <v/>
      </c>
    </row>
    <row r="946">
      <c r="A946" s="18" t="n"/>
      <c r="B946" s="19" t="n"/>
      <c r="C946" s="19" t="n"/>
      <c r="D946" s="19" t="n"/>
      <c r="E946" s="20" t="n"/>
      <c r="F946" s="20" t="n"/>
      <c r="G946" s="19" t="n"/>
      <c r="H946" s="21">
        <f>IF(A946="","",YEAR(A946)*100+MONTH(A946))</f>
        <v/>
      </c>
    </row>
    <row r="947">
      <c r="A947" s="18" t="n"/>
      <c r="B947" s="19" t="n"/>
      <c r="C947" s="19" t="n"/>
      <c r="D947" s="19" t="n"/>
      <c r="E947" s="20" t="n"/>
      <c r="F947" s="20" t="n"/>
      <c r="G947" s="19" t="n"/>
      <c r="H947" s="21">
        <f>IF(A947="","",YEAR(A947)*100+MONTH(A947))</f>
        <v/>
      </c>
    </row>
    <row r="948">
      <c r="A948" s="18" t="n"/>
      <c r="B948" s="19" t="n"/>
      <c r="C948" s="19" t="n"/>
      <c r="D948" s="19" t="n"/>
      <c r="E948" s="20" t="n"/>
      <c r="F948" s="20" t="n"/>
      <c r="G948" s="19" t="n"/>
      <c r="H948" s="21">
        <f>IF(A948="","",YEAR(A948)*100+MONTH(A948))</f>
        <v/>
      </c>
    </row>
    <row r="949">
      <c r="A949" s="18" t="n"/>
      <c r="B949" s="19" t="n"/>
      <c r="C949" s="19" t="n"/>
      <c r="D949" s="19" t="n"/>
      <c r="E949" s="20" t="n"/>
      <c r="F949" s="20" t="n"/>
      <c r="G949" s="19" t="n"/>
      <c r="H949" s="21">
        <f>IF(A949="","",YEAR(A949)*100+MONTH(A949))</f>
        <v/>
      </c>
    </row>
    <row r="950">
      <c r="A950" s="18" t="n"/>
      <c r="B950" s="19" t="n"/>
      <c r="C950" s="19" t="n"/>
      <c r="D950" s="19" t="n"/>
      <c r="E950" s="20" t="n"/>
      <c r="F950" s="20" t="n"/>
      <c r="G950" s="19" t="n"/>
      <c r="H950" s="21">
        <f>IF(A950="","",YEAR(A950)*100+MONTH(A950))</f>
        <v/>
      </c>
    </row>
    <row r="951">
      <c r="A951" s="18" t="n"/>
      <c r="B951" s="19" t="n"/>
      <c r="C951" s="19" t="n"/>
      <c r="D951" s="19" t="n"/>
      <c r="E951" s="20" t="n"/>
      <c r="F951" s="20" t="n"/>
      <c r="G951" s="19" t="n"/>
      <c r="H951" s="21">
        <f>IF(A951="","",YEAR(A951)*100+MONTH(A951))</f>
        <v/>
      </c>
    </row>
    <row r="952">
      <c r="A952" s="18" t="n"/>
      <c r="B952" s="19" t="n"/>
      <c r="C952" s="19" t="n"/>
      <c r="D952" s="19" t="n"/>
      <c r="E952" s="20" t="n"/>
      <c r="F952" s="20" t="n"/>
      <c r="G952" s="19" t="n"/>
      <c r="H952" s="21">
        <f>IF(A952="","",YEAR(A952)*100+MONTH(A952))</f>
        <v/>
      </c>
    </row>
    <row r="953">
      <c r="A953" s="18" t="n"/>
      <c r="B953" s="19" t="n"/>
      <c r="C953" s="19" t="n"/>
      <c r="D953" s="19" t="n"/>
      <c r="E953" s="20" t="n"/>
      <c r="F953" s="20" t="n"/>
      <c r="G953" s="19" t="n"/>
      <c r="H953" s="21">
        <f>IF(A953="","",YEAR(A953)*100+MONTH(A953))</f>
        <v/>
      </c>
    </row>
    <row r="954">
      <c r="A954" s="18" t="n"/>
      <c r="B954" s="19" t="n"/>
      <c r="C954" s="19" t="n"/>
      <c r="D954" s="19" t="n"/>
      <c r="E954" s="20" t="n"/>
      <c r="F954" s="20" t="n"/>
      <c r="G954" s="19" t="n"/>
      <c r="H954" s="21">
        <f>IF(A954="","",YEAR(A954)*100+MONTH(A954))</f>
        <v/>
      </c>
    </row>
    <row r="955">
      <c r="A955" s="18" t="n"/>
      <c r="B955" s="19" t="n"/>
      <c r="C955" s="19" t="n"/>
      <c r="D955" s="19" t="n"/>
      <c r="E955" s="20" t="n"/>
      <c r="F955" s="20" t="n"/>
      <c r="G955" s="19" t="n"/>
      <c r="H955" s="21">
        <f>IF(A955="","",YEAR(A955)*100+MONTH(A955))</f>
        <v/>
      </c>
    </row>
    <row r="956">
      <c r="A956" s="18" t="n"/>
      <c r="B956" s="19" t="n"/>
      <c r="C956" s="19" t="n"/>
      <c r="D956" s="19" t="n"/>
      <c r="E956" s="20" t="n"/>
      <c r="F956" s="20" t="n"/>
      <c r="G956" s="19" t="n"/>
      <c r="H956" s="21">
        <f>IF(A956="","",YEAR(A956)*100+MONTH(A956))</f>
        <v/>
      </c>
    </row>
    <row r="957">
      <c r="A957" s="18" t="n"/>
      <c r="B957" s="19" t="n"/>
      <c r="C957" s="19" t="n"/>
      <c r="D957" s="19" t="n"/>
      <c r="E957" s="20" t="n"/>
      <c r="F957" s="20" t="n"/>
      <c r="G957" s="19" t="n"/>
      <c r="H957" s="21">
        <f>IF(A957="","",YEAR(A957)*100+MONTH(A957))</f>
        <v/>
      </c>
    </row>
    <row r="958">
      <c r="A958" s="18" t="n"/>
      <c r="B958" s="19" t="n"/>
      <c r="C958" s="19" t="n"/>
      <c r="D958" s="19" t="n"/>
      <c r="E958" s="20" t="n"/>
      <c r="F958" s="20" t="n"/>
      <c r="G958" s="19" t="n"/>
      <c r="H958" s="21">
        <f>IF(A958="","",YEAR(A958)*100+MONTH(A958))</f>
        <v/>
      </c>
    </row>
    <row r="959">
      <c r="A959" s="18" t="n"/>
      <c r="B959" s="19" t="n"/>
      <c r="C959" s="19" t="n"/>
      <c r="D959" s="19" t="n"/>
      <c r="E959" s="20" t="n"/>
      <c r="F959" s="20" t="n"/>
      <c r="G959" s="19" t="n"/>
      <c r="H959" s="21">
        <f>IF(A959="","",YEAR(A959)*100+MONTH(A959))</f>
        <v/>
      </c>
    </row>
    <row r="960">
      <c r="A960" s="18" t="n"/>
      <c r="B960" s="19" t="n"/>
      <c r="C960" s="19" t="n"/>
      <c r="D960" s="19" t="n"/>
      <c r="E960" s="20" t="n"/>
      <c r="F960" s="20" t="n"/>
      <c r="G960" s="19" t="n"/>
      <c r="H960" s="21">
        <f>IF(A960="","",YEAR(A960)*100+MONTH(A960))</f>
        <v/>
      </c>
    </row>
    <row r="961">
      <c r="A961" s="18" t="n"/>
      <c r="B961" s="19" t="n"/>
      <c r="C961" s="19" t="n"/>
      <c r="D961" s="19" t="n"/>
      <c r="E961" s="20" t="n"/>
      <c r="F961" s="20" t="n"/>
      <c r="G961" s="19" t="n"/>
      <c r="H961" s="21">
        <f>IF(A961="","",YEAR(A961)*100+MONTH(A961))</f>
        <v/>
      </c>
    </row>
    <row r="962">
      <c r="A962" s="18" t="n"/>
      <c r="B962" s="19" t="n"/>
      <c r="C962" s="19" t="n"/>
      <c r="D962" s="19" t="n"/>
      <c r="E962" s="20" t="n"/>
      <c r="F962" s="20" t="n"/>
      <c r="G962" s="19" t="n"/>
      <c r="H962" s="21">
        <f>IF(A962="","",YEAR(A962)*100+MONTH(A962))</f>
        <v/>
      </c>
    </row>
    <row r="963">
      <c r="A963" s="18" t="n"/>
      <c r="B963" s="19" t="n"/>
      <c r="C963" s="19" t="n"/>
      <c r="D963" s="19" t="n"/>
      <c r="E963" s="20" t="n"/>
      <c r="F963" s="20" t="n"/>
      <c r="G963" s="19" t="n"/>
      <c r="H963" s="21">
        <f>IF(A963="","",YEAR(A963)*100+MONTH(A963))</f>
        <v/>
      </c>
    </row>
    <row r="964">
      <c r="A964" s="18" t="n"/>
      <c r="B964" s="19" t="n"/>
      <c r="C964" s="19" t="n"/>
      <c r="D964" s="19" t="n"/>
      <c r="E964" s="20" t="n"/>
      <c r="F964" s="20" t="n"/>
      <c r="G964" s="19" t="n"/>
      <c r="H964" s="21">
        <f>IF(A964="","",YEAR(A964)*100+MONTH(A964))</f>
        <v/>
      </c>
    </row>
    <row r="965">
      <c r="A965" s="18" t="n"/>
      <c r="B965" s="19" t="n"/>
      <c r="C965" s="19" t="n"/>
      <c r="D965" s="19" t="n"/>
      <c r="E965" s="20" t="n"/>
      <c r="F965" s="20" t="n"/>
      <c r="G965" s="19" t="n"/>
      <c r="H965" s="21">
        <f>IF(A965="","",YEAR(A965)*100+MONTH(A965))</f>
        <v/>
      </c>
    </row>
    <row r="966">
      <c r="A966" s="18" t="n"/>
      <c r="B966" s="19" t="n"/>
      <c r="C966" s="19" t="n"/>
      <c r="D966" s="19" t="n"/>
      <c r="E966" s="20" t="n"/>
      <c r="F966" s="20" t="n"/>
      <c r="G966" s="19" t="n"/>
      <c r="H966" s="21">
        <f>IF(A966="","",YEAR(A966)*100+MONTH(A966))</f>
        <v/>
      </c>
    </row>
    <row r="967">
      <c r="A967" s="18" t="n"/>
      <c r="B967" s="19" t="n"/>
      <c r="C967" s="19" t="n"/>
      <c r="D967" s="19" t="n"/>
      <c r="E967" s="20" t="n"/>
      <c r="F967" s="20" t="n"/>
      <c r="G967" s="19" t="n"/>
      <c r="H967" s="21">
        <f>IF(A967="","",YEAR(A967)*100+MONTH(A967))</f>
        <v/>
      </c>
    </row>
    <row r="968">
      <c r="A968" s="18" t="n"/>
      <c r="B968" s="19" t="n"/>
      <c r="C968" s="19" t="n"/>
      <c r="D968" s="19" t="n"/>
      <c r="E968" s="20" t="n"/>
      <c r="F968" s="20" t="n"/>
      <c r="G968" s="19" t="n"/>
      <c r="H968" s="21">
        <f>IF(A968="","",YEAR(A968)*100+MONTH(A968))</f>
        <v/>
      </c>
    </row>
    <row r="969">
      <c r="A969" s="18" t="n"/>
      <c r="B969" s="19" t="n"/>
      <c r="C969" s="19" t="n"/>
      <c r="D969" s="19" t="n"/>
      <c r="E969" s="20" t="n"/>
      <c r="F969" s="20" t="n"/>
      <c r="G969" s="19" t="n"/>
      <c r="H969" s="21">
        <f>IF(A969="","",YEAR(A969)*100+MONTH(A969))</f>
        <v/>
      </c>
    </row>
    <row r="970">
      <c r="A970" s="18" t="n"/>
      <c r="B970" s="19" t="n"/>
      <c r="C970" s="19" t="n"/>
      <c r="D970" s="19" t="n"/>
      <c r="E970" s="20" t="n"/>
      <c r="F970" s="20" t="n"/>
      <c r="G970" s="19" t="n"/>
      <c r="H970" s="21">
        <f>IF(A970="","",YEAR(A970)*100+MONTH(A970))</f>
        <v/>
      </c>
    </row>
    <row r="971">
      <c r="A971" s="18" t="n"/>
      <c r="B971" s="19" t="n"/>
      <c r="C971" s="19" t="n"/>
      <c r="D971" s="19" t="n"/>
      <c r="E971" s="20" t="n"/>
      <c r="F971" s="20" t="n"/>
      <c r="G971" s="19" t="n"/>
      <c r="H971" s="21">
        <f>IF(A971="","",YEAR(A971)*100+MONTH(A971))</f>
        <v/>
      </c>
    </row>
    <row r="972">
      <c r="A972" s="18" t="n"/>
      <c r="B972" s="19" t="n"/>
      <c r="C972" s="19" t="n"/>
      <c r="D972" s="19" t="n"/>
      <c r="E972" s="20" t="n"/>
      <c r="F972" s="20" t="n"/>
      <c r="G972" s="19" t="n"/>
      <c r="H972" s="21">
        <f>IF(A972="","",YEAR(A972)*100+MONTH(A972))</f>
        <v/>
      </c>
    </row>
    <row r="973">
      <c r="A973" s="18" t="n"/>
      <c r="B973" s="19" t="n"/>
      <c r="C973" s="19" t="n"/>
      <c r="D973" s="19" t="n"/>
      <c r="E973" s="20" t="n"/>
      <c r="F973" s="20" t="n"/>
      <c r="G973" s="19" t="n"/>
      <c r="H973" s="21">
        <f>IF(A973="","",YEAR(A973)*100+MONTH(A973))</f>
        <v/>
      </c>
    </row>
    <row r="974">
      <c r="A974" s="18" t="n"/>
      <c r="B974" s="19" t="n"/>
      <c r="C974" s="19" t="n"/>
      <c r="D974" s="19" t="n"/>
      <c r="E974" s="20" t="n"/>
      <c r="F974" s="20" t="n"/>
      <c r="G974" s="19" t="n"/>
      <c r="H974" s="21">
        <f>IF(A974="","",YEAR(A974)*100+MONTH(A974))</f>
        <v/>
      </c>
    </row>
    <row r="975">
      <c r="A975" s="18" t="n"/>
      <c r="B975" s="19" t="n"/>
      <c r="C975" s="19" t="n"/>
      <c r="D975" s="19" t="n"/>
      <c r="E975" s="20" t="n"/>
      <c r="F975" s="20" t="n"/>
      <c r="G975" s="19" t="n"/>
      <c r="H975" s="21">
        <f>IF(A975="","",YEAR(A975)*100+MONTH(A975))</f>
        <v/>
      </c>
    </row>
    <row r="976">
      <c r="A976" s="18" t="n"/>
      <c r="B976" s="19" t="n"/>
      <c r="C976" s="19" t="n"/>
      <c r="D976" s="19" t="n"/>
      <c r="E976" s="20" t="n"/>
      <c r="F976" s="20" t="n"/>
      <c r="G976" s="19" t="n"/>
      <c r="H976" s="21">
        <f>IF(A976="","",YEAR(A976)*100+MONTH(A976))</f>
        <v/>
      </c>
    </row>
    <row r="977">
      <c r="A977" s="18" t="n"/>
      <c r="B977" s="19" t="n"/>
      <c r="C977" s="19" t="n"/>
      <c r="D977" s="19" t="n"/>
      <c r="E977" s="20" t="n"/>
      <c r="F977" s="20" t="n"/>
      <c r="G977" s="19" t="n"/>
      <c r="H977" s="21">
        <f>IF(A977="","",YEAR(A977)*100+MONTH(A977))</f>
        <v/>
      </c>
    </row>
    <row r="978">
      <c r="A978" s="18" t="n"/>
      <c r="B978" s="19" t="n"/>
      <c r="C978" s="19" t="n"/>
      <c r="D978" s="19" t="n"/>
      <c r="E978" s="20" t="n"/>
      <c r="F978" s="20" t="n"/>
      <c r="G978" s="19" t="n"/>
      <c r="H978" s="21">
        <f>IF(A978="","",YEAR(A978)*100+MONTH(A978))</f>
        <v/>
      </c>
    </row>
    <row r="979">
      <c r="A979" s="18" t="n"/>
      <c r="B979" s="19" t="n"/>
      <c r="C979" s="19" t="n"/>
      <c r="D979" s="19" t="n"/>
      <c r="E979" s="20" t="n"/>
      <c r="F979" s="20" t="n"/>
      <c r="G979" s="19" t="n"/>
      <c r="H979" s="21">
        <f>IF(A979="","",YEAR(A979)*100+MONTH(A979))</f>
        <v/>
      </c>
    </row>
    <row r="980">
      <c r="A980" s="18" t="n"/>
      <c r="B980" s="19" t="n"/>
      <c r="C980" s="19" t="n"/>
      <c r="D980" s="19" t="n"/>
      <c r="E980" s="20" t="n"/>
      <c r="F980" s="20" t="n"/>
      <c r="G980" s="19" t="n"/>
      <c r="H980" s="21">
        <f>IF(A980="","",YEAR(A980)*100+MONTH(A980))</f>
        <v/>
      </c>
    </row>
    <row r="981">
      <c r="A981" s="18" t="n"/>
      <c r="B981" s="19" t="n"/>
      <c r="C981" s="19" t="n"/>
      <c r="D981" s="19" t="n"/>
      <c r="E981" s="20" t="n"/>
      <c r="F981" s="20" t="n"/>
      <c r="G981" s="19" t="n"/>
      <c r="H981" s="21">
        <f>IF(A981="","",YEAR(A981)*100+MONTH(A981))</f>
        <v/>
      </c>
    </row>
    <row r="982">
      <c r="A982" s="18" t="n"/>
      <c r="B982" s="19" t="n"/>
      <c r="C982" s="19" t="n"/>
      <c r="D982" s="19" t="n"/>
      <c r="E982" s="20" t="n"/>
      <c r="F982" s="20" t="n"/>
      <c r="G982" s="19" t="n"/>
      <c r="H982" s="21">
        <f>IF(A982="","",YEAR(A982)*100+MONTH(A982))</f>
        <v/>
      </c>
    </row>
    <row r="983">
      <c r="A983" s="18" t="n"/>
      <c r="B983" s="19" t="n"/>
      <c r="C983" s="19" t="n"/>
      <c r="D983" s="19" t="n"/>
      <c r="E983" s="20" t="n"/>
      <c r="F983" s="20" t="n"/>
      <c r="G983" s="19" t="n"/>
      <c r="H983" s="21">
        <f>IF(A983="","",YEAR(A983)*100+MONTH(A983))</f>
        <v/>
      </c>
    </row>
    <row r="984">
      <c r="A984" s="18" t="n"/>
      <c r="B984" s="19" t="n"/>
      <c r="C984" s="19" t="n"/>
      <c r="D984" s="19" t="n"/>
      <c r="E984" s="20" t="n"/>
      <c r="F984" s="20" t="n"/>
      <c r="G984" s="19" t="n"/>
      <c r="H984" s="21">
        <f>IF(A984="","",YEAR(A984)*100+MONTH(A984))</f>
        <v/>
      </c>
    </row>
    <row r="985">
      <c r="A985" s="18" t="n"/>
      <c r="B985" s="19" t="n"/>
      <c r="C985" s="19" t="n"/>
      <c r="D985" s="19" t="n"/>
      <c r="E985" s="20" t="n"/>
      <c r="F985" s="20" t="n"/>
      <c r="G985" s="19" t="n"/>
      <c r="H985" s="21">
        <f>IF(A985="","",YEAR(A985)*100+MONTH(A985))</f>
        <v/>
      </c>
    </row>
    <row r="986">
      <c r="A986" s="18" t="n"/>
      <c r="B986" s="19" t="n"/>
      <c r="C986" s="19" t="n"/>
      <c r="D986" s="19" t="n"/>
      <c r="E986" s="20" t="n"/>
      <c r="F986" s="20" t="n"/>
      <c r="G986" s="19" t="n"/>
      <c r="H986" s="21">
        <f>IF(A986="","",YEAR(A986)*100+MONTH(A986))</f>
        <v/>
      </c>
    </row>
    <row r="987">
      <c r="A987" s="18" t="n"/>
      <c r="B987" s="19" t="n"/>
      <c r="C987" s="19" t="n"/>
      <c r="D987" s="19" t="n"/>
      <c r="E987" s="20" t="n"/>
      <c r="F987" s="20" t="n"/>
      <c r="G987" s="19" t="n"/>
      <c r="H987" s="21">
        <f>IF(A987="","",YEAR(A987)*100+MONTH(A987))</f>
        <v/>
      </c>
    </row>
    <row r="988">
      <c r="A988" s="18" t="n"/>
      <c r="B988" s="19" t="n"/>
      <c r="C988" s="19" t="n"/>
      <c r="D988" s="19" t="n"/>
      <c r="E988" s="20" t="n"/>
      <c r="F988" s="20" t="n"/>
      <c r="G988" s="19" t="n"/>
      <c r="H988" s="21">
        <f>IF(A988="","",YEAR(A988)*100+MONTH(A988))</f>
        <v/>
      </c>
    </row>
    <row r="989">
      <c r="A989" s="18" t="n"/>
      <c r="B989" s="19" t="n"/>
      <c r="C989" s="19" t="n"/>
      <c r="D989" s="19" t="n"/>
      <c r="E989" s="20" t="n"/>
      <c r="F989" s="20" t="n"/>
      <c r="G989" s="19" t="n"/>
      <c r="H989" s="21">
        <f>IF(A989="","",YEAR(A989)*100+MONTH(A989))</f>
        <v/>
      </c>
    </row>
    <row r="990">
      <c r="A990" s="18" t="n"/>
      <c r="B990" s="19" t="n"/>
      <c r="C990" s="19" t="n"/>
      <c r="D990" s="19" t="n"/>
      <c r="E990" s="20" t="n"/>
      <c r="F990" s="20" t="n"/>
      <c r="G990" s="19" t="n"/>
      <c r="H990" s="21">
        <f>IF(A990="","",YEAR(A990)*100+MONTH(A990))</f>
        <v/>
      </c>
    </row>
    <row r="991">
      <c r="A991" s="18" t="n"/>
      <c r="B991" s="19" t="n"/>
      <c r="C991" s="19" t="n"/>
      <c r="D991" s="19" t="n"/>
      <c r="E991" s="20" t="n"/>
      <c r="F991" s="20" t="n"/>
      <c r="G991" s="19" t="n"/>
      <c r="H991" s="21">
        <f>IF(A991="","",YEAR(A991)*100+MONTH(A991))</f>
        <v/>
      </c>
    </row>
    <row r="992">
      <c r="A992" s="18" t="n"/>
      <c r="B992" s="19" t="n"/>
      <c r="C992" s="19" t="n"/>
      <c r="D992" s="19" t="n"/>
      <c r="E992" s="20" t="n"/>
      <c r="F992" s="20" t="n"/>
      <c r="G992" s="19" t="n"/>
      <c r="H992" s="21">
        <f>IF(A992="","",YEAR(A992)*100+MONTH(A992))</f>
        <v/>
      </c>
    </row>
    <row r="993">
      <c r="A993" s="18" t="n"/>
      <c r="B993" s="19" t="n"/>
      <c r="C993" s="19" t="n"/>
      <c r="D993" s="19" t="n"/>
      <c r="E993" s="20" t="n"/>
      <c r="F993" s="20" t="n"/>
      <c r="G993" s="19" t="n"/>
      <c r="H993" s="21">
        <f>IF(A993="","",YEAR(A993)*100+MONTH(A993))</f>
        <v/>
      </c>
    </row>
    <row r="994">
      <c r="A994" s="18" t="n"/>
      <c r="B994" s="19" t="n"/>
      <c r="C994" s="19" t="n"/>
      <c r="D994" s="19" t="n"/>
      <c r="E994" s="20" t="n"/>
      <c r="F994" s="20" t="n"/>
      <c r="G994" s="19" t="n"/>
      <c r="H994" s="21">
        <f>IF(A994="","",YEAR(A994)*100+MONTH(A994))</f>
        <v/>
      </c>
    </row>
    <row r="995">
      <c r="A995" s="18" t="n"/>
      <c r="B995" s="19" t="n"/>
      <c r="C995" s="19" t="n"/>
      <c r="D995" s="19" t="n"/>
      <c r="E995" s="20" t="n"/>
      <c r="F995" s="20" t="n"/>
      <c r="G995" s="19" t="n"/>
      <c r="H995" s="21">
        <f>IF(A995="","",YEAR(A995)*100+MONTH(A995))</f>
        <v/>
      </c>
    </row>
    <row r="996">
      <c r="A996" s="18" t="n"/>
      <c r="B996" s="19" t="n"/>
      <c r="C996" s="19" t="n"/>
      <c r="D996" s="19" t="n"/>
      <c r="E996" s="20" t="n"/>
      <c r="F996" s="20" t="n"/>
      <c r="G996" s="19" t="n"/>
      <c r="H996" s="21">
        <f>IF(A996="","",YEAR(A996)*100+MONTH(A996))</f>
        <v/>
      </c>
    </row>
    <row r="997">
      <c r="A997" s="18" t="n"/>
      <c r="B997" s="19" t="n"/>
      <c r="C997" s="19" t="n"/>
      <c r="D997" s="19" t="n"/>
      <c r="E997" s="20" t="n"/>
      <c r="F997" s="20" t="n"/>
      <c r="G997" s="19" t="n"/>
      <c r="H997" s="21">
        <f>IF(A997="","",YEAR(A997)*100+MONTH(A997))</f>
        <v/>
      </c>
    </row>
    <row r="998">
      <c r="A998" s="18" t="n"/>
      <c r="B998" s="19" t="n"/>
      <c r="C998" s="19" t="n"/>
      <c r="D998" s="19" t="n"/>
      <c r="E998" s="20" t="n"/>
      <c r="F998" s="20" t="n"/>
      <c r="G998" s="19" t="n"/>
      <c r="H998" s="21">
        <f>IF(A998="","",YEAR(A998)*100+MONTH(A998))</f>
        <v/>
      </c>
    </row>
    <row r="999">
      <c r="A999" s="18" t="n"/>
      <c r="B999" s="19" t="n"/>
      <c r="C999" s="19" t="n"/>
      <c r="D999" s="19" t="n"/>
      <c r="E999" s="20" t="n"/>
      <c r="F999" s="20" t="n"/>
      <c r="G999" s="19" t="n"/>
      <c r="H999" s="21">
        <f>IF(A999="","",YEAR(A999)*100+MONTH(A999))</f>
        <v/>
      </c>
    </row>
    <row r="1000">
      <c r="A1000" s="18" t="n"/>
      <c r="B1000" s="19" t="n"/>
      <c r="C1000" s="19" t="n"/>
      <c r="D1000" s="19" t="n"/>
      <c r="E1000" s="20" t="n"/>
      <c r="F1000" s="20" t="n"/>
      <c r="G1000" s="19" t="n"/>
      <c r="H1000" s="21">
        <f>IF(A1000="","",YEAR(A1000)*100+MONTH(A1000))</f>
        <v/>
      </c>
    </row>
    <row r="1001">
      <c r="A1001" s="18" t="n"/>
      <c r="B1001" s="19" t="n"/>
      <c r="C1001" s="19" t="n"/>
      <c r="D1001" s="19" t="n"/>
      <c r="E1001" s="20" t="n"/>
      <c r="F1001" s="20" t="n"/>
      <c r="G1001" s="19" t="n"/>
      <c r="H1001" s="21">
        <f>IF(A1001="","",YEAR(A1001)*100+MONTH(A1001))</f>
        <v/>
      </c>
    </row>
    <row r="1002">
      <c r="A1002" s="18" t="n"/>
      <c r="B1002" s="19" t="n"/>
      <c r="C1002" s="19" t="n"/>
      <c r="D1002" s="19" t="n"/>
      <c r="E1002" s="20" t="n"/>
      <c r="F1002" s="20" t="n"/>
      <c r="G1002" s="19" t="n"/>
      <c r="H1002" s="21">
        <f>IF(A1002="","",YEAR(A1002)*100+MONTH(A1002))</f>
        <v/>
      </c>
    </row>
    <row r="1003">
      <c r="A1003" s="18" t="n"/>
      <c r="B1003" s="19" t="n"/>
      <c r="C1003" s="19" t="n"/>
      <c r="D1003" s="19" t="n"/>
      <c r="E1003" s="20" t="n"/>
      <c r="F1003" s="20" t="n"/>
      <c r="G1003" s="19" t="n"/>
      <c r="H1003" s="21">
        <f>IF(A1003="","",YEAR(A1003)*100+MONTH(A1003))</f>
        <v/>
      </c>
    </row>
    <row r="1004">
      <c r="A1004" s="18" t="n"/>
      <c r="B1004" s="19" t="n"/>
      <c r="C1004" s="19" t="n"/>
      <c r="D1004" s="19" t="n"/>
      <c r="E1004" s="20" t="n"/>
      <c r="F1004" s="20" t="n"/>
      <c r="G1004" s="19" t="n"/>
      <c r="H1004" s="21">
        <f>IF(A1004="","",YEAR(A1004)*100+MONTH(A1004))</f>
        <v/>
      </c>
    </row>
    <row r="1005">
      <c r="A1005" s="18" t="n"/>
      <c r="B1005" s="19" t="n"/>
      <c r="C1005" s="19" t="n"/>
      <c r="D1005" s="19" t="n"/>
      <c r="E1005" s="20" t="n"/>
      <c r="F1005" s="20" t="n"/>
      <c r="G1005" s="19" t="n"/>
      <c r="H1005" s="21">
        <f>IF(A1005="","",YEAR(A1005)*100+MONTH(A1005))</f>
        <v/>
      </c>
    </row>
    <row r="1006">
      <c r="A1006" s="18" t="n"/>
      <c r="B1006" s="19" t="n"/>
      <c r="C1006" s="19" t="n"/>
      <c r="D1006" s="19" t="n"/>
      <c r="E1006" s="20" t="n"/>
      <c r="F1006" s="20" t="n"/>
      <c r="G1006" s="19" t="n"/>
      <c r="H1006" s="21">
        <f>IF(A1006="","",YEAR(A1006)*100+MONTH(A1006))</f>
        <v/>
      </c>
    </row>
    <row r="1007">
      <c r="A1007" s="18" t="n"/>
      <c r="B1007" s="19" t="n"/>
      <c r="C1007" s="19" t="n"/>
      <c r="D1007" s="19" t="n"/>
      <c r="E1007" s="20" t="n"/>
      <c r="F1007" s="20" t="n"/>
      <c r="G1007" s="19" t="n"/>
      <c r="H1007" s="21">
        <f>IF(A1007="","",YEAR(A1007)*100+MONTH(A1007))</f>
        <v/>
      </c>
    </row>
    <row r="1008">
      <c r="A1008" s="18" t="n"/>
      <c r="B1008" s="19" t="n"/>
      <c r="C1008" s="19" t="n"/>
      <c r="D1008" s="19" t="n"/>
      <c r="E1008" s="20" t="n"/>
      <c r="F1008" s="20" t="n"/>
      <c r="G1008" s="19" t="n"/>
      <c r="H1008" s="21">
        <f>IF(A1008="","",YEAR(A1008)*100+MONTH(A1008))</f>
        <v/>
      </c>
    </row>
    <row r="1009">
      <c r="A1009" s="18" t="n"/>
      <c r="B1009" s="19" t="n"/>
      <c r="C1009" s="19" t="n"/>
      <c r="D1009" s="19" t="n"/>
      <c r="E1009" s="20" t="n"/>
      <c r="F1009" s="20" t="n"/>
      <c r="G1009" s="19" t="n"/>
      <c r="H1009" s="21">
        <f>IF(A1009="","",YEAR(A1009)*100+MONTH(A1009))</f>
        <v/>
      </c>
    </row>
    <row r="1010">
      <c r="A1010" s="18" t="n"/>
      <c r="B1010" s="19" t="n"/>
      <c r="C1010" s="19" t="n"/>
      <c r="D1010" s="19" t="n"/>
      <c r="E1010" s="20" t="n"/>
      <c r="F1010" s="20" t="n"/>
      <c r="G1010" s="19" t="n"/>
      <c r="H1010" s="21">
        <f>IF(A1010="","",YEAR(A1010)*100+MONTH(A1010))</f>
        <v/>
      </c>
    </row>
    <row r="1011">
      <c r="A1011" s="18" t="n"/>
      <c r="B1011" s="19" t="n"/>
      <c r="C1011" s="19" t="n"/>
      <c r="D1011" s="19" t="n"/>
      <c r="E1011" s="20" t="n"/>
      <c r="F1011" s="20" t="n"/>
      <c r="G1011" s="19" t="n"/>
      <c r="H1011" s="21">
        <f>IF(A1011="","",YEAR(A1011)*100+MONTH(A1011))</f>
        <v/>
      </c>
    </row>
    <row r="1012">
      <c r="A1012" s="18" t="n"/>
      <c r="B1012" s="19" t="n"/>
      <c r="C1012" s="19" t="n"/>
      <c r="D1012" s="19" t="n"/>
      <c r="E1012" s="20" t="n"/>
      <c r="F1012" s="20" t="n"/>
      <c r="G1012" s="19" t="n"/>
      <c r="H1012" s="21">
        <f>IF(A1012="","",YEAR(A1012)*100+MONTH(A1012))</f>
        <v/>
      </c>
    </row>
    <row r="1013">
      <c r="A1013" s="18" t="n"/>
      <c r="B1013" s="19" t="n"/>
      <c r="C1013" s="19" t="n"/>
      <c r="D1013" s="19" t="n"/>
      <c r="E1013" s="20" t="n"/>
      <c r="F1013" s="20" t="n"/>
      <c r="G1013" s="19" t="n"/>
      <c r="H1013" s="21">
        <f>IF(A1013="","",YEAR(A1013)*100+MONTH(A1013))</f>
        <v/>
      </c>
    </row>
    <row r="1014">
      <c r="A1014" s="18" t="n"/>
      <c r="B1014" s="19" t="n"/>
      <c r="C1014" s="19" t="n"/>
      <c r="D1014" s="19" t="n"/>
      <c r="E1014" s="20" t="n"/>
      <c r="F1014" s="20" t="n"/>
      <c r="G1014" s="19" t="n"/>
      <c r="H1014" s="21">
        <f>IF(A1014="","",YEAR(A1014)*100+MONTH(A1014))</f>
        <v/>
      </c>
    </row>
    <row r="1015">
      <c r="A1015" s="18" t="n"/>
      <c r="B1015" s="19" t="n"/>
      <c r="C1015" s="19" t="n"/>
      <c r="D1015" s="19" t="n"/>
      <c r="E1015" s="20" t="n"/>
      <c r="F1015" s="20" t="n"/>
      <c r="G1015" s="19" t="n"/>
      <c r="H1015" s="21">
        <f>IF(A1015="","",YEAR(A1015)*100+MONTH(A1015))</f>
        <v/>
      </c>
    </row>
    <row r="1016">
      <c r="A1016" s="18" t="n"/>
      <c r="B1016" s="19" t="n"/>
      <c r="C1016" s="19" t="n"/>
      <c r="D1016" s="19" t="n"/>
      <c r="E1016" s="20" t="n"/>
      <c r="F1016" s="20" t="n"/>
      <c r="G1016" s="19" t="n"/>
      <c r="H1016" s="21">
        <f>IF(A1016="","",YEAR(A1016)*100+MONTH(A1016))</f>
        <v/>
      </c>
    </row>
    <row r="1017">
      <c r="A1017" s="18" t="n"/>
      <c r="B1017" s="19" t="n"/>
      <c r="C1017" s="19" t="n"/>
      <c r="D1017" s="19" t="n"/>
      <c r="E1017" s="20" t="n"/>
      <c r="F1017" s="20" t="n"/>
      <c r="G1017" s="19" t="n"/>
      <c r="H1017" s="21">
        <f>IF(A1017="","",YEAR(A1017)*100+MONTH(A1017))</f>
        <v/>
      </c>
    </row>
    <row r="1018">
      <c r="A1018" s="18" t="n"/>
      <c r="B1018" s="19" t="n"/>
      <c r="C1018" s="19" t="n"/>
      <c r="D1018" s="19" t="n"/>
      <c r="E1018" s="20" t="n"/>
      <c r="F1018" s="20" t="n"/>
      <c r="G1018" s="19" t="n"/>
      <c r="H1018" s="21">
        <f>IF(A1018="","",YEAR(A1018)*100+MONTH(A1018))</f>
        <v/>
      </c>
    </row>
    <row r="1019">
      <c r="A1019" s="18" t="n"/>
      <c r="B1019" s="19" t="n"/>
      <c r="C1019" s="19" t="n"/>
      <c r="D1019" s="19" t="n"/>
      <c r="E1019" s="20" t="n"/>
      <c r="F1019" s="20" t="n"/>
      <c r="G1019" s="19" t="n"/>
      <c r="H1019" s="21">
        <f>IF(A1019="","",YEAR(A1019)*100+MONTH(A1019))</f>
        <v/>
      </c>
    </row>
    <row r="1020">
      <c r="A1020" s="18" t="n"/>
      <c r="B1020" s="19" t="n"/>
      <c r="C1020" s="19" t="n"/>
      <c r="D1020" s="19" t="n"/>
      <c r="E1020" s="20" t="n"/>
      <c r="F1020" s="20" t="n"/>
      <c r="G1020" s="19" t="n"/>
      <c r="H1020" s="21">
        <f>IF(A1020="","",YEAR(A1020)*100+MONTH(A1020))</f>
        <v/>
      </c>
    </row>
    <row r="1021">
      <c r="A1021" s="18" t="n"/>
      <c r="B1021" s="19" t="n"/>
      <c r="C1021" s="19" t="n"/>
      <c r="D1021" s="19" t="n"/>
      <c r="E1021" s="20" t="n"/>
      <c r="F1021" s="20" t="n"/>
      <c r="G1021" s="19" t="n"/>
      <c r="H1021" s="21">
        <f>IF(A1021="","",YEAR(A1021)*100+MONTH(A1021))</f>
        <v/>
      </c>
    </row>
    <row r="1022">
      <c r="A1022" s="18" t="n"/>
      <c r="B1022" s="19" t="n"/>
      <c r="C1022" s="19" t="n"/>
      <c r="D1022" s="19" t="n"/>
      <c r="E1022" s="20" t="n"/>
      <c r="F1022" s="20" t="n"/>
      <c r="G1022" s="19" t="n"/>
      <c r="H1022" s="21">
        <f>IF(A1022="","",YEAR(A1022)*100+MONTH(A1022))</f>
        <v/>
      </c>
    </row>
    <row r="1023">
      <c r="A1023" s="18" t="n"/>
      <c r="B1023" s="19" t="n"/>
      <c r="C1023" s="19" t="n"/>
      <c r="D1023" s="19" t="n"/>
      <c r="E1023" s="20" t="n"/>
      <c r="F1023" s="20" t="n"/>
      <c r="G1023" s="19" t="n"/>
      <c r="H1023" s="21">
        <f>IF(A1023="","",YEAR(A1023)*100+MONTH(A1023))</f>
        <v/>
      </c>
    </row>
    <row r="1024">
      <c r="A1024" s="18" t="n"/>
      <c r="B1024" s="19" t="n"/>
      <c r="C1024" s="19" t="n"/>
      <c r="D1024" s="19" t="n"/>
      <c r="E1024" s="20" t="n"/>
      <c r="F1024" s="20" t="n"/>
      <c r="G1024" s="19" t="n"/>
      <c r="H1024" s="21">
        <f>IF(A1024="","",YEAR(A1024)*100+MONTH(A1024))</f>
        <v/>
      </c>
    </row>
    <row r="1025">
      <c r="A1025" s="18" t="n"/>
      <c r="B1025" s="19" t="n"/>
      <c r="C1025" s="19" t="n"/>
      <c r="D1025" s="19" t="n"/>
      <c r="E1025" s="20" t="n"/>
      <c r="F1025" s="20" t="n"/>
      <c r="G1025" s="19" t="n"/>
      <c r="H1025" s="21">
        <f>IF(A1025="","",YEAR(A1025)*100+MONTH(A1025))</f>
        <v/>
      </c>
    </row>
    <row r="1026">
      <c r="A1026" s="18" t="n"/>
      <c r="B1026" s="19" t="n"/>
      <c r="C1026" s="19" t="n"/>
      <c r="D1026" s="19" t="n"/>
      <c r="E1026" s="20" t="n"/>
      <c r="F1026" s="20" t="n"/>
      <c r="G1026" s="19" t="n"/>
      <c r="H1026" s="21">
        <f>IF(A1026="","",YEAR(A1026)*100+MONTH(A1026))</f>
        <v/>
      </c>
    </row>
    <row r="1027">
      <c r="A1027" s="18" t="n"/>
      <c r="B1027" s="19" t="n"/>
      <c r="C1027" s="19" t="n"/>
      <c r="D1027" s="19" t="n"/>
      <c r="E1027" s="20" t="n"/>
      <c r="F1027" s="20" t="n"/>
      <c r="G1027" s="19" t="n"/>
      <c r="H1027" s="21">
        <f>IF(A1027="","",YEAR(A1027)*100+MONTH(A1027))</f>
        <v/>
      </c>
    </row>
    <row r="1028">
      <c r="A1028" s="18" t="n"/>
      <c r="B1028" s="19" t="n"/>
      <c r="C1028" s="19" t="n"/>
      <c r="D1028" s="19" t="n"/>
      <c r="E1028" s="20" t="n"/>
      <c r="F1028" s="20" t="n"/>
      <c r="G1028" s="19" t="n"/>
      <c r="H1028" s="21">
        <f>IF(A1028="","",YEAR(A1028)*100+MONTH(A1028))</f>
        <v/>
      </c>
    </row>
    <row r="1029">
      <c r="A1029" s="18" t="n"/>
      <c r="B1029" s="19" t="n"/>
      <c r="C1029" s="19" t="n"/>
      <c r="D1029" s="19" t="n"/>
      <c r="E1029" s="20" t="n"/>
      <c r="F1029" s="20" t="n"/>
      <c r="G1029" s="19" t="n"/>
      <c r="H1029" s="21">
        <f>IF(A1029="","",YEAR(A1029)*100+MONTH(A1029))</f>
        <v/>
      </c>
    </row>
    <row r="1030">
      <c r="A1030" s="18" t="n"/>
      <c r="B1030" s="19" t="n"/>
      <c r="C1030" s="19" t="n"/>
      <c r="D1030" s="19" t="n"/>
      <c r="E1030" s="20" t="n"/>
      <c r="F1030" s="20" t="n"/>
      <c r="G1030" s="19" t="n"/>
      <c r="H1030" s="21">
        <f>IF(A1030="","",YEAR(A1030)*100+MONTH(A1030))</f>
        <v/>
      </c>
    </row>
    <row r="1031">
      <c r="A1031" s="18" t="n"/>
      <c r="B1031" s="19" t="n"/>
      <c r="C1031" s="19" t="n"/>
      <c r="D1031" s="19" t="n"/>
      <c r="E1031" s="20" t="n"/>
      <c r="F1031" s="20" t="n"/>
      <c r="G1031" s="19" t="n"/>
      <c r="H1031" s="21">
        <f>IF(A1031="","",YEAR(A1031)*100+MONTH(A1031))</f>
        <v/>
      </c>
    </row>
    <row r="1032">
      <c r="A1032" s="18" t="n"/>
      <c r="B1032" s="19" t="n"/>
      <c r="C1032" s="19" t="n"/>
      <c r="D1032" s="19" t="n"/>
      <c r="E1032" s="20" t="n"/>
      <c r="F1032" s="20" t="n"/>
      <c r="G1032" s="19" t="n"/>
      <c r="H1032" s="21">
        <f>IF(A1032="","",YEAR(A1032)*100+MONTH(A1032))</f>
        <v/>
      </c>
    </row>
    <row r="1033">
      <c r="A1033" s="18" t="n"/>
      <c r="B1033" s="19" t="n"/>
      <c r="C1033" s="19" t="n"/>
      <c r="D1033" s="19" t="n"/>
      <c r="E1033" s="20" t="n"/>
      <c r="F1033" s="20" t="n"/>
      <c r="G1033" s="19" t="n"/>
      <c r="H1033" s="21">
        <f>IF(A1033="","",YEAR(A1033)*100+MONTH(A1033))</f>
        <v/>
      </c>
    </row>
    <row r="1034">
      <c r="A1034" s="18" t="n"/>
      <c r="B1034" s="19" t="n"/>
      <c r="C1034" s="19" t="n"/>
      <c r="D1034" s="19" t="n"/>
      <c r="E1034" s="20" t="n"/>
      <c r="F1034" s="20" t="n"/>
      <c r="G1034" s="19" t="n"/>
      <c r="H1034" s="21">
        <f>IF(A1034="","",YEAR(A1034)*100+MONTH(A1034))</f>
        <v/>
      </c>
    </row>
    <row r="1035">
      <c r="A1035" s="18" t="n"/>
      <c r="B1035" s="19" t="n"/>
      <c r="C1035" s="19" t="n"/>
      <c r="D1035" s="19" t="n"/>
      <c r="E1035" s="20" t="n"/>
      <c r="F1035" s="20" t="n"/>
      <c r="G1035" s="19" t="n"/>
      <c r="H1035" s="21">
        <f>IF(A1035="","",YEAR(A1035)*100+MONTH(A1035))</f>
        <v/>
      </c>
    </row>
    <row r="1036">
      <c r="A1036" s="18" t="n"/>
      <c r="B1036" s="19" t="n"/>
      <c r="C1036" s="19" t="n"/>
      <c r="D1036" s="19" t="n"/>
      <c r="E1036" s="20" t="n"/>
      <c r="F1036" s="20" t="n"/>
      <c r="G1036" s="19" t="n"/>
      <c r="H1036" s="21">
        <f>IF(A1036="","",YEAR(A1036)*100+MONTH(A1036))</f>
        <v/>
      </c>
    </row>
    <row r="1037">
      <c r="A1037" s="18" t="n"/>
      <c r="B1037" s="19" t="n"/>
      <c r="C1037" s="19" t="n"/>
      <c r="D1037" s="19" t="n"/>
      <c r="E1037" s="20" t="n"/>
      <c r="F1037" s="20" t="n"/>
      <c r="G1037" s="19" t="n"/>
      <c r="H1037" s="21">
        <f>IF(A1037="","",YEAR(A1037)*100+MONTH(A1037))</f>
        <v/>
      </c>
    </row>
    <row r="1038">
      <c r="A1038" s="18" t="n"/>
      <c r="B1038" s="19" t="n"/>
      <c r="C1038" s="19" t="n"/>
      <c r="D1038" s="19" t="n"/>
      <c r="E1038" s="20" t="n"/>
      <c r="F1038" s="20" t="n"/>
      <c r="G1038" s="19" t="n"/>
      <c r="H1038" s="21">
        <f>IF(A1038="","",YEAR(A1038)*100+MONTH(A1038))</f>
        <v/>
      </c>
    </row>
    <row r="1039">
      <c r="A1039" s="18" t="n"/>
      <c r="B1039" s="19" t="n"/>
      <c r="C1039" s="19" t="n"/>
      <c r="D1039" s="19" t="n"/>
      <c r="E1039" s="20" t="n"/>
      <c r="F1039" s="20" t="n"/>
      <c r="G1039" s="19" t="n"/>
      <c r="H1039" s="21">
        <f>IF(A1039="","",YEAR(A1039)*100+MONTH(A1039))</f>
        <v/>
      </c>
    </row>
    <row r="1040">
      <c r="A1040" s="18" t="n"/>
      <c r="B1040" s="19" t="n"/>
      <c r="C1040" s="19" t="n"/>
      <c r="D1040" s="19" t="n"/>
      <c r="E1040" s="20" t="n"/>
      <c r="F1040" s="20" t="n"/>
      <c r="G1040" s="19" t="n"/>
      <c r="H1040" s="21">
        <f>IF(A1040="","",YEAR(A1040)*100+MONTH(A1040))</f>
        <v/>
      </c>
    </row>
    <row r="1041">
      <c r="A1041" s="18" t="n"/>
      <c r="B1041" s="19" t="n"/>
      <c r="C1041" s="19" t="n"/>
      <c r="D1041" s="19" t="n"/>
      <c r="E1041" s="20" t="n"/>
      <c r="F1041" s="20" t="n"/>
      <c r="G1041" s="19" t="n"/>
      <c r="H1041" s="21">
        <f>IF(A1041="","",YEAR(A1041)*100+MONTH(A1041))</f>
        <v/>
      </c>
    </row>
    <row r="1042">
      <c r="A1042" s="18" t="n"/>
      <c r="B1042" s="19" t="n"/>
      <c r="C1042" s="19" t="n"/>
      <c r="D1042" s="19" t="n"/>
      <c r="E1042" s="20" t="n"/>
      <c r="F1042" s="20" t="n"/>
      <c r="G1042" s="19" t="n"/>
      <c r="H1042" s="21">
        <f>IF(A1042="","",YEAR(A1042)*100+MONTH(A1042))</f>
        <v/>
      </c>
    </row>
    <row r="1043">
      <c r="A1043" s="18" t="n"/>
      <c r="B1043" s="19" t="n"/>
      <c r="C1043" s="19" t="n"/>
      <c r="D1043" s="19" t="n"/>
      <c r="E1043" s="20" t="n"/>
      <c r="F1043" s="20" t="n"/>
      <c r="G1043" s="19" t="n"/>
      <c r="H1043" s="21">
        <f>IF(A1043="","",YEAR(A1043)*100+MONTH(A1043))</f>
        <v/>
      </c>
    </row>
    <row r="1044">
      <c r="A1044" s="18" t="n"/>
      <c r="B1044" s="19" t="n"/>
      <c r="C1044" s="19" t="n"/>
      <c r="D1044" s="19" t="n"/>
      <c r="E1044" s="20" t="n"/>
      <c r="F1044" s="20" t="n"/>
      <c r="G1044" s="19" t="n"/>
      <c r="H1044" s="21">
        <f>IF(A1044="","",YEAR(A1044)*100+MONTH(A1044))</f>
        <v/>
      </c>
    </row>
    <row r="1045">
      <c r="A1045" s="18" t="n"/>
      <c r="B1045" s="19" t="n"/>
      <c r="C1045" s="19" t="n"/>
      <c r="D1045" s="19" t="n"/>
      <c r="E1045" s="20" t="n"/>
      <c r="F1045" s="20" t="n"/>
      <c r="G1045" s="19" t="n"/>
      <c r="H1045" s="21">
        <f>IF(A1045="","",YEAR(A1045)*100+MONTH(A1045))</f>
        <v/>
      </c>
    </row>
    <row r="1046">
      <c r="A1046" s="18" t="n"/>
      <c r="B1046" s="19" t="n"/>
      <c r="C1046" s="19" t="n"/>
      <c r="D1046" s="19" t="n"/>
      <c r="E1046" s="20" t="n"/>
      <c r="F1046" s="20" t="n"/>
      <c r="G1046" s="19" t="n"/>
      <c r="H1046" s="21">
        <f>IF(A1046="","",YEAR(A1046)*100+MONTH(A1046))</f>
        <v/>
      </c>
    </row>
    <row r="1047">
      <c r="A1047" s="18" t="n"/>
      <c r="B1047" s="19" t="n"/>
      <c r="C1047" s="19" t="n"/>
      <c r="D1047" s="19" t="n"/>
      <c r="E1047" s="20" t="n"/>
      <c r="F1047" s="20" t="n"/>
      <c r="G1047" s="19" t="n"/>
      <c r="H1047" s="21">
        <f>IF(A1047="","",YEAR(A1047)*100+MONTH(A1047))</f>
        <v/>
      </c>
    </row>
    <row r="1048">
      <c r="A1048" s="18" t="n"/>
      <c r="B1048" s="19" t="n"/>
      <c r="C1048" s="19" t="n"/>
      <c r="D1048" s="19" t="n"/>
      <c r="E1048" s="20" t="n"/>
      <c r="F1048" s="20" t="n"/>
      <c r="G1048" s="19" t="n"/>
      <c r="H1048" s="21">
        <f>IF(A1048="","",YEAR(A1048)*100+MONTH(A1048))</f>
        <v/>
      </c>
    </row>
    <row r="1049">
      <c r="A1049" s="18" t="n"/>
      <c r="B1049" s="19" t="n"/>
      <c r="C1049" s="19" t="n"/>
      <c r="D1049" s="19" t="n"/>
      <c r="E1049" s="20" t="n"/>
      <c r="F1049" s="20" t="n"/>
      <c r="G1049" s="19" t="n"/>
      <c r="H1049" s="21">
        <f>IF(A1049="","",YEAR(A1049)*100+MONTH(A1049))</f>
        <v/>
      </c>
    </row>
    <row r="1050">
      <c r="A1050" s="18" t="n"/>
      <c r="B1050" s="19" t="n"/>
      <c r="C1050" s="19" t="n"/>
      <c r="D1050" s="19" t="n"/>
      <c r="E1050" s="20" t="n"/>
      <c r="F1050" s="20" t="n"/>
      <c r="G1050" s="19" t="n"/>
      <c r="H1050" s="21">
        <f>IF(A1050="","",YEAR(A1050)*100+MONTH(A1050))</f>
        <v/>
      </c>
    </row>
    <row r="1051">
      <c r="A1051" s="18" t="n"/>
      <c r="B1051" s="19" t="n"/>
      <c r="C1051" s="19" t="n"/>
      <c r="D1051" s="19" t="n"/>
      <c r="E1051" s="20" t="n"/>
      <c r="F1051" s="20" t="n"/>
      <c r="G1051" s="19" t="n"/>
      <c r="H1051" s="21">
        <f>IF(A1051="","",YEAR(A1051)*100+MONTH(A1051))</f>
        <v/>
      </c>
    </row>
    <row r="1052">
      <c r="A1052" s="18" t="n"/>
      <c r="B1052" s="19" t="n"/>
      <c r="C1052" s="19" t="n"/>
      <c r="D1052" s="19" t="n"/>
      <c r="E1052" s="20" t="n"/>
      <c r="F1052" s="20" t="n"/>
      <c r="G1052" s="19" t="n"/>
      <c r="H1052" s="21">
        <f>IF(A1052="","",YEAR(A1052)*100+MONTH(A1052))</f>
        <v/>
      </c>
    </row>
    <row r="1053">
      <c r="A1053" s="18" t="n"/>
      <c r="B1053" s="19" t="n"/>
      <c r="C1053" s="19" t="n"/>
      <c r="D1053" s="19" t="n"/>
      <c r="E1053" s="20" t="n"/>
      <c r="F1053" s="20" t="n"/>
      <c r="G1053" s="19" t="n"/>
      <c r="H1053" s="21">
        <f>IF(A1053="","",YEAR(A1053)*100+MONTH(A1053))</f>
        <v/>
      </c>
    </row>
    <row r="1054">
      <c r="A1054" s="18" t="n"/>
      <c r="B1054" s="19" t="n"/>
      <c r="C1054" s="19" t="n"/>
      <c r="D1054" s="19" t="n"/>
      <c r="E1054" s="20" t="n"/>
      <c r="F1054" s="20" t="n"/>
      <c r="G1054" s="19" t="n"/>
      <c r="H1054" s="21">
        <f>IF(A1054="","",YEAR(A1054)*100+MONTH(A1054))</f>
        <v/>
      </c>
    </row>
    <row r="1055">
      <c r="A1055" s="18" t="n"/>
      <c r="B1055" s="19" t="n"/>
      <c r="C1055" s="19" t="n"/>
      <c r="D1055" s="19" t="n"/>
      <c r="E1055" s="20" t="n"/>
      <c r="F1055" s="20" t="n"/>
      <c r="G1055" s="19" t="n"/>
      <c r="H1055" s="21">
        <f>IF(A1055="","",YEAR(A1055)*100+MONTH(A1055))</f>
        <v/>
      </c>
    </row>
    <row r="1056">
      <c r="A1056" s="18" t="n"/>
      <c r="B1056" s="19" t="n"/>
      <c r="C1056" s="19" t="n"/>
      <c r="D1056" s="19" t="n"/>
      <c r="E1056" s="20" t="n"/>
      <c r="F1056" s="20" t="n"/>
      <c r="G1056" s="19" t="n"/>
      <c r="H1056" s="21">
        <f>IF(A1056="","",YEAR(A1056)*100+MONTH(A1056))</f>
        <v/>
      </c>
    </row>
    <row r="1057">
      <c r="A1057" s="18" t="n"/>
      <c r="B1057" s="19" t="n"/>
      <c r="C1057" s="19" t="n"/>
      <c r="D1057" s="19" t="n"/>
      <c r="E1057" s="20" t="n"/>
      <c r="F1057" s="20" t="n"/>
      <c r="G1057" s="19" t="n"/>
      <c r="H1057" s="21">
        <f>IF(A1057="","",YEAR(A1057)*100+MONTH(A1057))</f>
        <v/>
      </c>
    </row>
    <row r="1058">
      <c r="A1058" s="18" t="n"/>
      <c r="B1058" s="19" t="n"/>
      <c r="C1058" s="19" t="n"/>
      <c r="D1058" s="19" t="n"/>
      <c r="E1058" s="20" t="n"/>
      <c r="F1058" s="20" t="n"/>
      <c r="G1058" s="19" t="n"/>
      <c r="H1058" s="21">
        <f>IF(A1058="","",YEAR(A1058)*100+MONTH(A1058))</f>
        <v/>
      </c>
    </row>
    <row r="1059">
      <c r="A1059" s="18" t="n"/>
      <c r="B1059" s="19" t="n"/>
      <c r="C1059" s="19" t="n"/>
      <c r="D1059" s="19" t="n"/>
      <c r="E1059" s="20" t="n"/>
      <c r="F1059" s="20" t="n"/>
      <c r="G1059" s="19" t="n"/>
      <c r="H1059" s="21">
        <f>IF(A1059="","",YEAR(A1059)*100+MONTH(A1059))</f>
        <v/>
      </c>
    </row>
    <row r="1060">
      <c r="A1060" s="18" t="n"/>
      <c r="B1060" s="19" t="n"/>
      <c r="C1060" s="19" t="n"/>
      <c r="D1060" s="19" t="n"/>
      <c r="E1060" s="20" t="n"/>
      <c r="F1060" s="20" t="n"/>
      <c r="G1060" s="19" t="n"/>
      <c r="H1060" s="21">
        <f>IF(A1060="","",YEAR(A1060)*100+MONTH(A1060))</f>
        <v/>
      </c>
    </row>
    <row r="1061">
      <c r="A1061" s="18" t="n"/>
      <c r="B1061" s="19" t="n"/>
      <c r="C1061" s="19" t="n"/>
      <c r="D1061" s="19" t="n"/>
      <c r="E1061" s="20" t="n"/>
      <c r="F1061" s="20" t="n"/>
      <c r="G1061" s="19" t="n"/>
      <c r="H1061" s="21">
        <f>IF(A1061="","",YEAR(A1061)*100+MONTH(A1061))</f>
        <v/>
      </c>
    </row>
    <row r="1062">
      <c r="A1062" s="18" t="n"/>
      <c r="B1062" s="19" t="n"/>
      <c r="C1062" s="19" t="n"/>
      <c r="D1062" s="19" t="n"/>
      <c r="E1062" s="20" t="n"/>
      <c r="F1062" s="20" t="n"/>
      <c r="G1062" s="19" t="n"/>
      <c r="H1062" s="21">
        <f>IF(A1062="","",YEAR(A1062)*100+MONTH(A1062))</f>
        <v/>
      </c>
    </row>
    <row r="1063">
      <c r="A1063" s="18" t="n"/>
      <c r="B1063" s="19" t="n"/>
      <c r="C1063" s="19" t="n"/>
      <c r="D1063" s="19" t="n"/>
      <c r="E1063" s="20" t="n"/>
      <c r="F1063" s="20" t="n"/>
      <c r="G1063" s="19" t="n"/>
      <c r="H1063" s="21">
        <f>IF(A1063="","",YEAR(A1063)*100+MONTH(A1063))</f>
        <v/>
      </c>
    </row>
    <row r="1064">
      <c r="A1064" s="18" t="n"/>
      <c r="B1064" s="19" t="n"/>
      <c r="C1064" s="19" t="n"/>
      <c r="D1064" s="19" t="n"/>
      <c r="E1064" s="20" t="n"/>
      <c r="F1064" s="20" t="n"/>
      <c r="G1064" s="19" t="n"/>
      <c r="H1064" s="21">
        <f>IF(A1064="","",YEAR(A1064)*100+MONTH(A1064))</f>
        <v/>
      </c>
    </row>
    <row r="1065">
      <c r="A1065" s="18" t="n"/>
      <c r="B1065" s="19" t="n"/>
      <c r="C1065" s="19" t="n"/>
      <c r="D1065" s="19" t="n"/>
      <c r="E1065" s="20" t="n"/>
      <c r="F1065" s="20" t="n"/>
      <c r="G1065" s="19" t="n"/>
      <c r="H1065" s="21">
        <f>IF(A1065="","",YEAR(A1065)*100+MONTH(A1065))</f>
        <v/>
      </c>
    </row>
    <row r="1066">
      <c r="A1066" s="18" t="n"/>
      <c r="B1066" s="19" t="n"/>
      <c r="C1066" s="19" t="n"/>
      <c r="D1066" s="19" t="n"/>
      <c r="E1066" s="20" t="n"/>
      <c r="F1066" s="20" t="n"/>
      <c r="G1066" s="19" t="n"/>
      <c r="H1066" s="21">
        <f>IF(A1066="","",YEAR(A1066)*100+MONTH(A1066))</f>
        <v/>
      </c>
    </row>
    <row r="1067">
      <c r="A1067" s="18" t="n"/>
      <c r="B1067" s="19" t="n"/>
      <c r="C1067" s="19" t="n"/>
      <c r="D1067" s="19" t="n"/>
      <c r="E1067" s="20" t="n"/>
      <c r="F1067" s="20" t="n"/>
      <c r="G1067" s="19" t="n"/>
      <c r="H1067" s="21">
        <f>IF(A1067="","",YEAR(A1067)*100+MONTH(A1067))</f>
        <v/>
      </c>
    </row>
    <row r="1068">
      <c r="A1068" s="18" t="n"/>
      <c r="B1068" s="19" t="n"/>
      <c r="C1068" s="19" t="n"/>
      <c r="D1068" s="19" t="n"/>
      <c r="E1068" s="20" t="n"/>
      <c r="F1068" s="20" t="n"/>
      <c r="G1068" s="19" t="n"/>
      <c r="H1068" s="21">
        <f>IF(A1068="","",YEAR(A1068)*100+MONTH(A1068))</f>
        <v/>
      </c>
    </row>
    <row r="1069">
      <c r="A1069" s="18" t="n"/>
      <c r="B1069" s="19" t="n"/>
      <c r="C1069" s="19" t="n"/>
      <c r="D1069" s="19" t="n"/>
      <c r="E1069" s="20" t="n"/>
      <c r="F1069" s="20" t="n"/>
      <c r="G1069" s="19" t="n"/>
      <c r="H1069" s="21">
        <f>IF(A1069="","",YEAR(A1069)*100+MONTH(A1069))</f>
        <v/>
      </c>
    </row>
    <row r="1070">
      <c r="A1070" s="18" t="n"/>
      <c r="B1070" s="19" t="n"/>
      <c r="C1070" s="19" t="n"/>
      <c r="D1070" s="19" t="n"/>
      <c r="E1070" s="20" t="n"/>
      <c r="F1070" s="20" t="n"/>
      <c r="G1070" s="19" t="n"/>
      <c r="H1070" s="21">
        <f>IF(A1070="","",YEAR(A1070)*100+MONTH(A1070))</f>
        <v/>
      </c>
    </row>
    <row r="1071">
      <c r="A1071" s="18" t="n"/>
      <c r="B1071" s="19" t="n"/>
      <c r="C1071" s="19" t="n"/>
      <c r="D1071" s="19" t="n"/>
      <c r="E1071" s="20" t="n"/>
      <c r="F1071" s="20" t="n"/>
      <c r="G1071" s="19" t="n"/>
      <c r="H1071" s="21">
        <f>IF(A1071="","",YEAR(A1071)*100+MONTH(A1071))</f>
        <v/>
      </c>
    </row>
    <row r="1072">
      <c r="A1072" s="18" t="n"/>
      <c r="B1072" s="19" t="n"/>
      <c r="C1072" s="19" t="n"/>
      <c r="D1072" s="19" t="n"/>
      <c r="E1072" s="20" t="n"/>
      <c r="F1072" s="20" t="n"/>
      <c r="G1072" s="19" t="n"/>
      <c r="H1072" s="21">
        <f>IF(A1072="","",YEAR(A1072)*100+MONTH(A1072))</f>
        <v/>
      </c>
    </row>
    <row r="1073">
      <c r="A1073" s="18" t="n"/>
      <c r="B1073" s="19" t="n"/>
      <c r="C1073" s="19" t="n"/>
      <c r="D1073" s="19" t="n"/>
      <c r="E1073" s="20" t="n"/>
      <c r="F1073" s="20" t="n"/>
      <c r="G1073" s="19" t="n"/>
      <c r="H1073" s="21">
        <f>IF(A1073="","",YEAR(A1073)*100+MONTH(A1073))</f>
        <v/>
      </c>
    </row>
    <row r="1074">
      <c r="A1074" s="18" t="n"/>
      <c r="B1074" s="19" t="n"/>
      <c r="C1074" s="19" t="n"/>
      <c r="D1074" s="19" t="n"/>
      <c r="E1074" s="20" t="n"/>
      <c r="F1074" s="20" t="n"/>
      <c r="G1074" s="19" t="n"/>
      <c r="H1074" s="21">
        <f>IF(A1074="","",YEAR(A1074)*100+MONTH(A1074))</f>
        <v/>
      </c>
    </row>
    <row r="1075">
      <c r="A1075" s="18" t="n"/>
      <c r="B1075" s="19" t="n"/>
      <c r="C1075" s="19" t="n"/>
      <c r="D1075" s="19" t="n"/>
      <c r="E1075" s="20" t="n"/>
      <c r="F1075" s="20" t="n"/>
      <c r="G1075" s="19" t="n"/>
      <c r="H1075" s="21">
        <f>IF(A1075="","",YEAR(A1075)*100+MONTH(A1075))</f>
        <v/>
      </c>
    </row>
    <row r="1076">
      <c r="A1076" s="18" t="n"/>
      <c r="B1076" s="19" t="n"/>
      <c r="C1076" s="19" t="n"/>
      <c r="D1076" s="19" t="n"/>
      <c r="E1076" s="20" t="n"/>
      <c r="F1076" s="20" t="n"/>
      <c r="G1076" s="19" t="n"/>
      <c r="H1076" s="21">
        <f>IF(A1076="","",YEAR(A1076)*100+MONTH(A1076))</f>
        <v/>
      </c>
    </row>
    <row r="1077">
      <c r="A1077" s="18" t="n"/>
      <c r="B1077" s="19" t="n"/>
      <c r="C1077" s="19" t="n"/>
      <c r="D1077" s="19" t="n"/>
      <c r="E1077" s="20" t="n"/>
      <c r="F1077" s="20" t="n"/>
      <c r="G1077" s="19" t="n"/>
      <c r="H1077" s="21">
        <f>IF(A1077="","",YEAR(A1077)*100+MONTH(A1077))</f>
        <v/>
      </c>
    </row>
    <row r="1078">
      <c r="A1078" s="18" t="n"/>
      <c r="B1078" s="19" t="n"/>
      <c r="C1078" s="19" t="n"/>
      <c r="D1078" s="19" t="n"/>
      <c r="E1078" s="20" t="n"/>
      <c r="F1078" s="20" t="n"/>
      <c r="G1078" s="19" t="n"/>
      <c r="H1078" s="21">
        <f>IF(A1078="","",YEAR(A1078)*100+MONTH(A1078))</f>
        <v/>
      </c>
    </row>
    <row r="1079">
      <c r="A1079" s="18" t="n"/>
      <c r="B1079" s="19" t="n"/>
      <c r="C1079" s="19" t="n"/>
      <c r="D1079" s="19" t="n"/>
      <c r="E1079" s="20" t="n"/>
      <c r="F1079" s="20" t="n"/>
      <c r="G1079" s="19" t="n"/>
      <c r="H1079" s="21">
        <f>IF(A1079="","",YEAR(A1079)*100+MONTH(A1079))</f>
        <v/>
      </c>
    </row>
    <row r="1080">
      <c r="A1080" s="18" t="n"/>
      <c r="B1080" s="19" t="n"/>
      <c r="C1080" s="19" t="n"/>
      <c r="D1080" s="19" t="n"/>
      <c r="E1080" s="20" t="n"/>
      <c r="F1080" s="20" t="n"/>
      <c r="G1080" s="19" t="n"/>
      <c r="H1080" s="21">
        <f>IF(A1080="","",YEAR(A1080)*100+MONTH(A1080))</f>
        <v/>
      </c>
    </row>
    <row r="1081">
      <c r="A1081" s="18" t="n"/>
      <c r="B1081" s="19" t="n"/>
      <c r="C1081" s="19" t="n"/>
      <c r="D1081" s="19" t="n"/>
      <c r="E1081" s="20" t="n"/>
      <c r="F1081" s="20" t="n"/>
      <c r="G1081" s="19" t="n"/>
      <c r="H1081" s="21">
        <f>IF(A1081="","",YEAR(A1081)*100+MONTH(A1081))</f>
        <v/>
      </c>
    </row>
    <row r="1082">
      <c r="A1082" s="18" t="n"/>
      <c r="B1082" s="19" t="n"/>
      <c r="C1082" s="19" t="n"/>
      <c r="D1082" s="19" t="n"/>
      <c r="E1082" s="20" t="n"/>
      <c r="F1082" s="20" t="n"/>
      <c r="G1082" s="19" t="n"/>
      <c r="H1082" s="21">
        <f>IF(A1082="","",YEAR(A1082)*100+MONTH(A1082))</f>
        <v/>
      </c>
    </row>
    <row r="1083">
      <c r="A1083" s="18" t="n"/>
      <c r="B1083" s="19" t="n"/>
      <c r="C1083" s="19" t="n"/>
      <c r="D1083" s="19" t="n"/>
      <c r="E1083" s="20" t="n"/>
      <c r="F1083" s="20" t="n"/>
      <c r="G1083" s="19" t="n"/>
      <c r="H1083" s="21">
        <f>IF(A1083="","",YEAR(A1083)*100+MONTH(A1083))</f>
        <v/>
      </c>
    </row>
    <row r="1084">
      <c r="A1084" s="18" t="n"/>
      <c r="B1084" s="19" t="n"/>
      <c r="C1084" s="19" t="n"/>
      <c r="D1084" s="19" t="n"/>
      <c r="E1084" s="20" t="n"/>
      <c r="F1084" s="20" t="n"/>
      <c r="G1084" s="19" t="n"/>
      <c r="H1084" s="21">
        <f>IF(A1084="","",YEAR(A1084)*100+MONTH(A1084))</f>
        <v/>
      </c>
    </row>
    <row r="1085">
      <c r="A1085" s="18" t="n"/>
      <c r="B1085" s="19" t="n"/>
      <c r="C1085" s="19" t="n"/>
      <c r="D1085" s="19" t="n"/>
      <c r="E1085" s="20" t="n"/>
      <c r="F1085" s="20" t="n"/>
      <c r="G1085" s="19" t="n"/>
      <c r="H1085" s="21">
        <f>IF(A1085="","",YEAR(A1085)*100+MONTH(A1085))</f>
        <v/>
      </c>
    </row>
    <row r="1086">
      <c r="A1086" s="18" t="n"/>
      <c r="B1086" s="19" t="n"/>
      <c r="C1086" s="19" t="n"/>
      <c r="D1086" s="19" t="n"/>
      <c r="E1086" s="20" t="n"/>
      <c r="F1086" s="20" t="n"/>
      <c r="G1086" s="19" t="n"/>
      <c r="H1086" s="21">
        <f>IF(A1086="","",YEAR(A1086)*100+MONTH(A1086))</f>
        <v/>
      </c>
    </row>
    <row r="1087">
      <c r="A1087" s="18" t="n"/>
      <c r="B1087" s="19" t="n"/>
      <c r="C1087" s="19" t="n"/>
      <c r="D1087" s="19" t="n"/>
      <c r="E1087" s="20" t="n"/>
      <c r="F1087" s="20" t="n"/>
      <c r="G1087" s="19" t="n"/>
      <c r="H1087" s="21">
        <f>IF(A1087="","",YEAR(A1087)*100+MONTH(A1087))</f>
        <v/>
      </c>
    </row>
    <row r="1088">
      <c r="A1088" s="18" t="n"/>
      <c r="B1088" s="19" t="n"/>
      <c r="C1088" s="19" t="n"/>
      <c r="D1088" s="19" t="n"/>
      <c r="E1088" s="20" t="n"/>
      <c r="F1088" s="20" t="n"/>
      <c r="G1088" s="19" t="n"/>
      <c r="H1088" s="21">
        <f>IF(A1088="","",YEAR(A1088)*100+MONTH(A1088))</f>
        <v/>
      </c>
    </row>
    <row r="1089">
      <c r="A1089" s="18" t="n"/>
      <c r="B1089" s="19" t="n"/>
      <c r="C1089" s="19" t="n"/>
      <c r="D1089" s="19" t="n"/>
      <c r="E1089" s="20" t="n"/>
      <c r="F1089" s="20" t="n"/>
      <c r="G1089" s="19" t="n"/>
      <c r="H1089" s="21">
        <f>IF(A1089="","",YEAR(A1089)*100+MONTH(A1089))</f>
        <v/>
      </c>
    </row>
    <row r="1090">
      <c r="A1090" s="18" t="n"/>
      <c r="B1090" s="19" t="n"/>
      <c r="C1090" s="19" t="n"/>
      <c r="D1090" s="19" t="n"/>
      <c r="E1090" s="20" t="n"/>
      <c r="F1090" s="20" t="n"/>
      <c r="G1090" s="19" t="n"/>
      <c r="H1090" s="21">
        <f>IF(A1090="","",YEAR(A1090)*100+MONTH(A1090))</f>
        <v/>
      </c>
    </row>
    <row r="1091">
      <c r="A1091" s="18" t="n"/>
      <c r="B1091" s="19" t="n"/>
      <c r="C1091" s="19" t="n"/>
      <c r="D1091" s="19" t="n"/>
      <c r="E1091" s="20" t="n"/>
      <c r="F1091" s="20" t="n"/>
      <c r="G1091" s="19" t="n"/>
      <c r="H1091" s="21">
        <f>IF(A1091="","",YEAR(A1091)*100+MONTH(A1091))</f>
        <v/>
      </c>
    </row>
    <row r="1092">
      <c r="A1092" s="18" t="n"/>
      <c r="B1092" s="19" t="n"/>
      <c r="C1092" s="19" t="n"/>
      <c r="D1092" s="19" t="n"/>
      <c r="E1092" s="20" t="n"/>
      <c r="F1092" s="20" t="n"/>
      <c r="G1092" s="19" t="n"/>
      <c r="H1092" s="21">
        <f>IF(A1092="","",YEAR(A1092)*100+MONTH(A1092))</f>
        <v/>
      </c>
    </row>
    <row r="1093">
      <c r="A1093" s="18" t="n"/>
      <c r="B1093" s="19" t="n"/>
      <c r="C1093" s="19" t="n"/>
      <c r="D1093" s="19" t="n"/>
      <c r="E1093" s="20" t="n"/>
      <c r="F1093" s="20" t="n"/>
      <c r="G1093" s="19" t="n"/>
      <c r="H1093" s="21">
        <f>IF(A1093="","",YEAR(A1093)*100+MONTH(A1093))</f>
        <v/>
      </c>
    </row>
    <row r="1094">
      <c r="A1094" s="18" t="n"/>
      <c r="B1094" s="19" t="n"/>
      <c r="C1094" s="19" t="n"/>
      <c r="D1094" s="19" t="n"/>
      <c r="E1094" s="20" t="n"/>
      <c r="F1094" s="20" t="n"/>
      <c r="G1094" s="19" t="n"/>
      <c r="H1094" s="21">
        <f>IF(A1094="","",YEAR(A1094)*100+MONTH(A1094))</f>
        <v/>
      </c>
    </row>
    <row r="1095">
      <c r="A1095" s="18" t="n"/>
      <c r="B1095" s="19" t="n"/>
      <c r="C1095" s="19" t="n"/>
      <c r="D1095" s="19" t="n"/>
      <c r="E1095" s="20" t="n"/>
      <c r="F1095" s="20" t="n"/>
      <c r="G1095" s="19" t="n"/>
      <c r="H1095" s="21">
        <f>IF(A1095="","",YEAR(A1095)*100+MONTH(A1095))</f>
        <v/>
      </c>
    </row>
    <row r="1096">
      <c r="A1096" s="18" t="n"/>
      <c r="B1096" s="19" t="n"/>
      <c r="C1096" s="19" t="n"/>
      <c r="D1096" s="19" t="n"/>
      <c r="E1096" s="20" t="n"/>
      <c r="F1096" s="20" t="n"/>
      <c r="G1096" s="19" t="n"/>
      <c r="H1096" s="21">
        <f>IF(A1096="","",YEAR(A1096)*100+MONTH(A1096))</f>
        <v/>
      </c>
    </row>
    <row r="1097">
      <c r="A1097" s="18" t="n"/>
      <c r="B1097" s="19" t="n"/>
      <c r="C1097" s="19" t="n"/>
      <c r="D1097" s="19" t="n"/>
      <c r="E1097" s="20" t="n"/>
      <c r="F1097" s="20" t="n"/>
      <c r="G1097" s="19" t="n"/>
      <c r="H1097" s="21">
        <f>IF(A1097="","",YEAR(A1097)*100+MONTH(A1097))</f>
        <v/>
      </c>
    </row>
    <row r="1098">
      <c r="A1098" s="18" t="n"/>
      <c r="B1098" s="19" t="n"/>
      <c r="C1098" s="19" t="n"/>
      <c r="D1098" s="19" t="n"/>
      <c r="E1098" s="20" t="n"/>
      <c r="F1098" s="20" t="n"/>
      <c r="G1098" s="19" t="n"/>
      <c r="H1098" s="21">
        <f>IF(A1098="","",YEAR(A1098)*100+MONTH(A1098))</f>
        <v/>
      </c>
    </row>
    <row r="1099">
      <c r="A1099" s="18" t="n"/>
      <c r="B1099" s="19" t="n"/>
      <c r="C1099" s="19" t="n"/>
      <c r="D1099" s="19" t="n"/>
      <c r="E1099" s="20" t="n"/>
      <c r="F1099" s="20" t="n"/>
      <c r="G1099" s="19" t="n"/>
      <c r="H1099" s="21">
        <f>IF(A1099="","",YEAR(A1099)*100+MONTH(A1099))</f>
        <v/>
      </c>
    </row>
    <row r="1100">
      <c r="A1100" s="18" t="n"/>
      <c r="B1100" s="19" t="n"/>
      <c r="C1100" s="19" t="n"/>
      <c r="D1100" s="19" t="n"/>
      <c r="E1100" s="20" t="n"/>
      <c r="F1100" s="20" t="n"/>
      <c r="G1100" s="19" t="n"/>
      <c r="H1100" s="21">
        <f>IF(A1100="","",YEAR(A1100)*100+MONTH(A1100))</f>
        <v/>
      </c>
    </row>
    <row r="1101">
      <c r="A1101" s="18" t="n"/>
      <c r="B1101" s="19" t="n"/>
      <c r="C1101" s="19" t="n"/>
      <c r="D1101" s="19" t="n"/>
      <c r="E1101" s="20" t="n"/>
      <c r="F1101" s="20" t="n"/>
      <c r="G1101" s="19" t="n"/>
      <c r="H1101" s="21">
        <f>IF(A1101="","",YEAR(A1101)*100+MONTH(A1101))</f>
        <v/>
      </c>
    </row>
    <row r="1102">
      <c r="A1102" s="18" t="n"/>
      <c r="B1102" s="19" t="n"/>
      <c r="C1102" s="19" t="n"/>
      <c r="D1102" s="19" t="n"/>
      <c r="E1102" s="20" t="n"/>
      <c r="F1102" s="20" t="n"/>
      <c r="G1102" s="19" t="n"/>
      <c r="H1102" s="21">
        <f>IF(A1102="","",YEAR(A1102)*100+MONTH(A1102))</f>
        <v/>
      </c>
    </row>
    <row r="1103">
      <c r="A1103" s="18" t="n"/>
      <c r="B1103" s="19" t="n"/>
      <c r="C1103" s="19" t="n"/>
      <c r="D1103" s="19" t="n"/>
      <c r="E1103" s="20" t="n"/>
      <c r="F1103" s="20" t="n"/>
      <c r="G1103" s="19" t="n"/>
      <c r="H1103" s="21">
        <f>IF(A1103="","",YEAR(A1103)*100+MONTH(A1103))</f>
        <v/>
      </c>
    </row>
    <row r="1104">
      <c r="A1104" s="18" t="n"/>
      <c r="B1104" s="19" t="n"/>
      <c r="C1104" s="19" t="n"/>
      <c r="D1104" s="19" t="n"/>
      <c r="E1104" s="20" t="n"/>
      <c r="F1104" s="20" t="n"/>
      <c r="G1104" s="19" t="n"/>
      <c r="H1104" s="21">
        <f>IF(A1104="","",YEAR(A1104)*100+MONTH(A1104))</f>
        <v/>
      </c>
    </row>
    <row r="1105">
      <c r="A1105" s="18" t="n"/>
      <c r="B1105" s="19" t="n"/>
      <c r="C1105" s="19" t="n"/>
      <c r="D1105" s="19" t="n"/>
      <c r="E1105" s="20" t="n"/>
      <c r="F1105" s="20" t="n"/>
      <c r="G1105" s="19" t="n"/>
      <c r="H1105" s="21">
        <f>IF(A1105="","",YEAR(A1105)*100+MONTH(A1105))</f>
        <v/>
      </c>
    </row>
    <row r="1106">
      <c r="A1106" s="18" t="n"/>
      <c r="B1106" s="19" t="n"/>
      <c r="C1106" s="19" t="n"/>
      <c r="D1106" s="19" t="n"/>
      <c r="E1106" s="20" t="n"/>
      <c r="F1106" s="20" t="n"/>
      <c r="G1106" s="19" t="n"/>
      <c r="H1106" s="21">
        <f>IF(A1106="","",YEAR(A1106)*100+MONTH(A1106))</f>
        <v/>
      </c>
    </row>
    <row r="1107">
      <c r="A1107" s="18" t="n"/>
      <c r="B1107" s="19" t="n"/>
      <c r="C1107" s="19" t="n"/>
      <c r="D1107" s="19" t="n"/>
      <c r="E1107" s="20" t="n"/>
      <c r="F1107" s="20" t="n"/>
      <c r="G1107" s="19" t="n"/>
      <c r="H1107" s="21">
        <f>IF(A1107="","",YEAR(A1107)*100+MONTH(A1107))</f>
        <v/>
      </c>
    </row>
    <row r="1108">
      <c r="A1108" s="18" t="n"/>
      <c r="B1108" s="19" t="n"/>
      <c r="C1108" s="19" t="n"/>
      <c r="D1108" s="19" t="n"/>
      <c r="E1108" s="20" t="n"/>
      <c r="F1108" s="20" t="n"/>
      <c r="G1108" s="19" t="n"/>
      <c r="H1108" s="21">
        <f>IF(A1108="","",YEAR(A1108)*100+MONTH(A1108))</f>
        <v/>
      </c>
    </row>
    <row r="1109">
      <c r="A1109" s="18" t="n"/>
      <c r="B1109" s="19" t="n"/>
      <c r="C1109" s="19" t="n"/>
      <c r="D1109" s="19" t="n"/>
      <c r="E1109" s="20" t="n"/>
      <c r="F1109" s="20" t="n"/>
      <c r="G1109" s="19" t="n"/>
      <c r="H1109" s="21">
        <f>IF(A1109="","",YEAR(A1109)*100+MONTH(A1109))</f>
        <v/>
      </c>
    </row>
    <row r="1110">
      <c r="A1110" s="18" t="n"/>
      <c r="B1110" s="19" t="n"/>
      <c r="C1110" s="19" t="n"/>
      <c r="D1110" s="19" t="n"/>
      <c r="E1110" s="20" t="n"/>
      <c r="F1110" s="20" t="n"/>
      <c r="G1110" s="19" t="n"/>
      <c r="H1110" s="21">
        <f>IF(A1110="","",YEAR(A1110)*100+MONTH(A1110))</f>
        <v/>
      </c>
    </row>
    <row r="1111">
      <c r="A1111" s="18" t="n"/>
      <c r="B1111" s="19" t="n"/>
      <c r="C1111" s="19" t="n"/>
      <c r="D1111" s="19" t="n"/>
      <c r="E1111" s="20" t="n"/>
      <c r="F1111" s="20" t="n"/>
      <c r="G1111" s="19" t="n"/>
      <c r="H1111" s="21">
        <f>IF(A1111="","",YEAR(A1111)*100+MONTH(A1111))</f>
        <v/>
      </c>
    </row>
    <row r="1112">
      <c r="A1112" s="18" t="n"/>
      <c r="B1112" s="19" t="n"/>
      <c r="C1112" s="19" t="n"/>
      <c r="D1112" s="19" t="n"/>
      <c r="E1112" s="20" t="n"/>
      <c r="F1112" s="20" t="n"/>
      <c r="G1112" s="19" t="n"/>
      <c r="H1112" s="21">
        <f>IF(A1112="","",YEAR(A1112)*100+MONTH(A1112))</f>
        <v/>
      </c>
    </row>
    <row r="1113">
      <c r="A1113" s="18" t="n"/>
      <c r="B1113" s="19" t="n"/>
      <c r="C1113" s="19" t="n"/>
      <c r="D1113" s="19" t="n"/>
      <c r="E1113" s="20" t="n"/>
      <c r="F1113" s="20" t="n"/>
      <c r="G1113" s="19" t="n"/>
      <c r="H1113" s="21">
        <f>IF(A1113="","",YEAR(A1113)*100+MONTH(A1113))</f>
        <v/>
      </c>
    </row>
    <row r="1114">
      <c r="A1114" s="18" t="n"/>
      <c r="B1114" s="19" t="n"/>
      <c r="C1114" s="19" t="n"/>
      <c r="D1114" s="19" t="n"/>
      <c r="E1114" s="20" t="n"/>
      <c r="F1114" s="20" t="n"/>
      <c r="G1114" s="19" t="n"/>
      <c r="H1114" s="21">
        <f>IF(A1114="","",YEAR(A1114)*100+MONTH(A1114))</f>
        <v/>
      </c>
    </row>
    <row r="1115">
      <c r="A1115" s="18" t="n"/>
      <c r="B1115" s="19" t="n"/>
      <c r="C1115" s="19" t="n"/>
      <c r="D1115" s="19" t="n"/>
      <c r="E1115" s="20" t="n"/>
      <c r="F1115" s="20" t="n"/>
      <c r="G1115" s="19" t="n"/>
      <c r="H1115" s="21">
        <f>IF(A1115="","",YEAR(A1115)*100+MONTH(A1115))</f>
        <v/>
      </c>
    </row>
    <row r="1116">
      <c r="A1116" s="18" t="n"/>
      <c r="B1116" s="19" t="n"/>
      <c r="C1116" s="19" t="n"/>
      <c r="D1116" s="19" t="n"/>
      <c r="E1116" s="20" t="n"/>
      <c r="F1116" s="20" t="n"/>
      <c r="G1116" s="19" t="n"/>
      <c r="H1116" s="21">
        <f>IF(A1116="","",YEAR(A1116)*100+MONTH(A1116))</f>
        <v/>
      </c>
    </row>
    <row r="1117">
      <c r="A1117" s="18" t="n"/>
      <c r="B1117" s="19" t="n"/>
      <c r="C1117" s="19" t="n"/>
      <c r="D1117" s="19" t="n"/>
      <c r="E1117" s="20" t="n"/>
      <c r="F1117" s="20" t="n"/>
      <c r="G1117" s="19" t="n"/>
      <c r="H1117" s="21">
        <f>IF(A1117="","",YEAR(A1117)*100+MONTH(A1117))</f>
        <v/>
      </c>
    </row>
    <row r="1118">
      <c r="A1118" s="18" t="n"/>
      <c r="B1118" s="19" t="n"/>
      <c r="C1118" s="19" t="n"/>
      <c r="D1118" s="19" t="n"/>
      <c r="E1118" s="20" t="n"/>
      <c r="F1118" s="20" t="n"/>
      <c r="G1118" s="19" t="n"/>
      <c r="H1118" s="21">
        <f>IF(A1118="","",YEAR(A1118)*100+MONTH(A1118))</f>
        <v/>
      </c>
    </row>
    <row r="1119">
      <c r="A1119" s="18" t="n"/>
      <c r="B1119" s="19" t="n"/>
      <c r="C1119" s="19" t="n"/>
      <c r="D1119" s="19" t="n"/>
      <c r="E1119" s="20" t="n"/>
      <c r="F1119" s="20" t="n"/>
      <c r="G1119" s="19" t="n"/>
      <c r="H1119" s="21">
        <f>IF(A1119="","",YEAR(A1119)*100+MONTH(A1119))</f>
        <v/>
      </c>
    </row>
    <row r="1120">
      <c r="A1120" s="18" t="n"/>
      <c r="B1120" s="19" t="n"/>
      <c r="C1120" s="19" t="n"/>
      <c r="D1120" s="19" t="n"/>
      <c r="E1120" s="20" t="n"/>
      <c r="F1120" s="20" t="n"/>
      <c r="G1120" s="19" t="n"/>
      <c r="H1120" s="21">
        <f>IF(A1120="","",YEAR(A1120)*100+MONTH(A1120))</f>
        <v/>
      </c>
    </row>
    <row r="1121">
      <c r="A1121" s="18" t="n"/>
      <c r="B1121" s="19" t="n"/>
      <c r="C1121" s="19" t="n"/>
      <c r="D1121" s="19" t="n"/>
      <c r="E1121" s="20" t="n"/>
      <c r="F1121" s="20" t="n"/>
      <c r="G1121" s="19" t="n"/>
      <c r="H1121" s="21">
        <f>IF(A1121="","",YEAR(A1121)*100+MONTH(A1121))</f>
        <v/>
      </c>
    </row>
    <row r="1122">
      <c r="A1122" s="18" t="n"/>
      <c r="B1122" s="19" t="n"/>
      <c r="C1122" s="19" t="n"/>
      <c r="D1122" s="19" t="n"/>
      <c r="E1122" s="20" t="n"/>
      <c r="F1122" s="20" t="n"/>
      <c r="G1122" s="19" t="n"/>
      <c r="H1122" s="21">
        <f>IF(A1122="","",YEAR(A1122)*100+MONTH(A1122))</f>
        <v/>
      </c>
    </row>
    <row r="1123">
      <c r="A1123" s="18" t="n"/>
      <c r="B1123" s="19" t="n"/>
      <c r="C1123" s="19" t="n"/>
      <c r="D1123" s="19" t="n"/>
      <c r="E1123" s="20" t="n"/>
      <c r="F1123" s="20" t="n"/>
      <c r="G1123" s="19" t="n"/>
      <c r="H1123" s="21">
        <f>IF(A1123="","",YEAR(A1123)*100+MONTH(A1123))</f>
        <v/>
      </c>
    </row>
    <row r="1124">
      <c r="A1124" s="18" t="n"/>
      <c r="B1124" s="19" t="n"/>
      <c r="C1124" s="19" t="n"/>
      <c r="D1124" s="19" t="n"/>
      <c r="E1124" s="20" t="n"/>
      <c r="F1124" s="20" t="n"/>
      <c r="G1124" s="19" t="n"/>
      <c r="H1124" s="21">
        <f>IF(A1124="","",YEAR(A1124)*100+MONTH(A1124))</f>
        <v/>
      </c>
    </row>
    <row r="1125">
      <c r="A1125" s="18" t="n"/>
      <c r="B1125" s="19" t="n"/>
      <c r="C1125" s="19" t="n"/>
      <c r="D1125" s="19" t="n"/>
      <c r="E1125" s="20" t="n"/>
      <c r="F1125" s="20" t="n"/>
      <c r="G1125" s="19" t="n"/>
      <c r="H1125" s="21">
        <f>IF(A1125="","",YEAR(A1125)*100+MONTH(A1125))</f>
        <v/>
      </c>
    </row>
    <row r="1126">
      <c r="A1126" s="18" t="n"/>
      <c r="B1126" s="19" t="n"/>
      <c r="C1126" s="19" t="n"/>
      <c r="D1126" s="19" t="n"/>
      <c r="E1126" s="20" t="n"/>
      <c r="F1126" s="20" t="n"/>
      <c r="G1126" s="19" t="n"/>
      <c r="H1126" s="21">
        <f>IF(A1126="","",YEAR(A1126)*100+MONTH(A1126))</f>
        <v/>
      </c>
    </row>
    <row r="1127">
      <c r="A1127" s="18" t="n"/>
      <c r="B1127" s="19" t="n"/>
      <c r="C1127" s="19" t="n"/>
      <c r="D1127" s="19" t="n"/>
      <c r="E1127" s="20" t="n"/>
      <c r="F1127" s="20" t="n"/>
      <c r="G1127" s="19" t="n"/>
      <c r="H1127" s="21">
        <f>IF(A1127="","",YEAR(A1127)*100+MONTH(A1127))</f>
        <v/>
      </c>
    </row>
    <row r="1128">
      <c r="A1128" s="18" t="n"/>
      <c r="B1128" s="19" t="n"/>
      <c r="C1128" s="19" t="n"/>
      <c r="D1128" s="19" t="n"/>
      <c r="E1128" s="20" t="n"/>
      <c r="F1128" s="20" t="n"/>
      <c r="G1128" s="19" t="n"/>
      <c r="H1128" s="21">
        <f>IF(A1128="","",YEAR(A1128)*100+MONTH(A1128))</f>
        <v/>
      </c>
    </row>
    <row r="1129">
      <c r="A1129" s="18" t="n"/>
      <c r="B1129" s="19" t="n"/>
      <c r="C1129" s="19" t="n"/>
      <c r="D1129" s="19" t="n"/>
      <c r="E1129" s="20" t="n"/>
      <c r="F1129" s="20" t="n"/>
      <c r="G1129" s="19" t="n"/>
      <c r="H1129" s="21">
        <f>IF(A1129="","",YEAR(A1129)*100+MONTH(A1129))</f>
        <v/>
      </c>
    </row>
    <row r="1130">
      <c r="A1130" s="18" t="n"/>
      <c r="B1130" s="19" t="n"/>
      <c r="C1130" s="19" t="n"/>
      <c r="D1130" s="19" t="n"/>
      <c r="E1130" s="20" t="n"/>
      <c r="F1130" s="20" t="n"/>
      <c r="G1130" s="19" t="n"/>
      <c r="H1130" s="21">
        <f>IF(A1130="","",YEAR(A1130)*100+MONTH(A1130))</f>
        <v/>
      </c>
    </row>
    <row r="1131">
      <c r="A1131" s="18" t="n"/>
      <c r="B1131" s="19" t="n"/>
      <c r="C1131" s="19" t="n"/>
      <c r="D1131" s="19" t="n"/>
      <c r="E1131" s="20" t="n"/>
      <c r="F1131" s="20" t="n"/>
      <c r="G1131" s="19" t="n"/>
      <c r="H1131" s="21">
        <f>IF(A1131="","",YEAR(A1131)*100+MONTH(A1131))</f>
        <v/>
      </c>
    </row>
    <row r="1132">
      <c r="A1132" s="18" t="n"/>
      <c r="B1132" s="19" t="n"/>
      <c r="C1132" s="19" t="n"/>
      <c r="D1132" s="19" t="n"/>
      <c r="E1132" s="20" t="n"/>
      <c r="F1132" s="20" t="n"/>
      <c r="G1132" s="19" t="n"/>
      <c r="H1132" s="21">
        <f>IF(A1132="","",YEAR(A1132)*100+MONTH(A1132))</f>
        <v/>
      </c>
    </row>
    <row r="1133">
      <c r="A1133" s="18" t="n"/>
      <c r="B1133" s="19" t="n"/>
      <c r="C1133" s="19" t="n"/>
      <c r="D1133" s="19" t="n"/>
      <c r="E1133" s="20" t="n"/>
      <c r="F1133" s="20" t="n"/>
      <c r="G1133" s="19" t="n"/>
      <c r="H1133" s="21">
        <f>IF(A1133="","",YEAR(A1133)*100+MONTH(A1133))</f>
        <v/>
      </c>
    </row>
    <row r="1134">
      <c r="A1134" s="18" t="n"/>
      <c r="B1134" s="19" t="n"/>
      <c r="C1134" s="19" t="n"/>
      <c r="D1134" s="19" t="n"/>
      <c r="E1134" s="20" t="n"/>
      <c r="F1134" s="20" t="n"/>
      <c r="G1134" s="19" t="n"/>
      <c r="H1134" s="21">
        <f>IF(A1134="","",YEAR(A1134)*100+MONTH(A1134))</f>
        <v/>
      </c>
    </row>
    <row r="1135">
      <c r="A1135" s="18" t="n"/>
      <c r="B1135" s="19" t="n"/>
      <c r="C1135" s="19" t="n"/>
      <c r="D1135" s="19" t="n"/>
      <c r="E1135" s="20" t="n"/>
      <c r="F1135" s="20" t="n"/>
      <c r="G1135" s="19" t="n"/>
      <c r="H1135" s="21">
        <f>IF(A1135="","",YEAR(A1135)*100+MONTH(A1135))</f>
        <v/>
      </c>
    </row>
    <row r="1136">
      <c r="A1136" s="18" t="n"/>
      <c r="B1136" s="19" t="n"/>
      <c r="C1136" s="19" t="n"/>
      <c r="D1136" s="19" t="n"/>
      <c r="E1136" s="20" t="n"/>
      <c r="F1136" s="20" t="n"/>
      <c r="G1136" s="19" t="n"/>
      <c r="H1136" s="21">
        <f>IF(A1136="","",YEAR(A1136)*100+MONTH(A1136))</f>
        <v/>
      </c>
    </row>
    <row r="1137">
      <c r="A1137" s="18" t="n"/>
      <c r="B1137" s="19" t="n"/>
      <c r="C1137" s="19" t="n"/>
      <c r="D1137" s="19" t="n"/>
      <c r="E1137" s="20" t="n"/>
      <c r="F1137" s="20" t="n"/>
      <c r="G1137" s="19" t="n"/>
      <c r="H1137" s="21">
        <f>IF(A1137="","",YEAR(A1137)*100+MONTH(A1137))</f>
        <v/>
      </c>
    </row>
    <row r="1138">
      <c r="A1138" s="18" t="n"/>
      <c r="B1138" s="19" t="n"/>
      <c r="C1138" s="19" t="n"/>
      <c r="D1138" s="19" t="n"/>
      <c r="E1138" s="20" t="n"/>
      <c r="F1138" s="20" t="n"/>
      <c r="G1138" s="19" t="n"/>
      <c r="H1138" s="21">
        <f>IF(A1138="","",YEAR(A1138)*100+MONTH(A1138))</f>
        <v/>
      </c>
    </row>
    <row r="1139">
      <c r="A1139" s="18" t="n"/>
      <c r="B1139" s="19" t="n"/>
      <c r="C1139" s="19" t="n"/>
      <c r="D1139" s="19" t="n"/>
      <c r="E1139" s="20" t="n"/>
      <c r="F1139" s="20" t="n"/>
      <c r="G1139" s="19" t="n"/>
      <c r="H1139" s="21">
        <f>IF(A1139="","",YEAR(A1139)*100+MONTH(A1139))</f>
        <v/>
      </c>
    </row>
    <row r="1140">
      <c r="A1140" s="18" t="n"/>
      <c r="B1140" s="19" t="n"/>
      <c r="C1140" s="19" t="n"/>
      <c r="D1140" s="19" t="n"/>
      <c r="E1140" s="20" t="n"/>
      <c r="F1140" s="20" t="n"/>
      <c r="G1140" s="19" t="n"/>
      <c r="H1140" s="21">
        <f>IF(A1140="","",YEAR(A1140)*100+MONTH(A1140))</f>
        <v/>
      </c>
    </row>
    <row r="1141">
      <c r="A1141" s="18" t="n"/>
      <c r="B1141" s="19" t="n"/>
      <c r="C1141" s="19" t="n"/>
      <c r="D1141" s="19" t="n"/>
      <c r="E1141" s="20" t="n"/>
      <c r="F1141" s="20" t="n"/>
      <c r="G1141" s="19" t="n"/>
      <c r="H1141" s="21">
        <f>IF(A1141="","",YEAR(A1141)*100+MONTH(A1141))</f>
        <v/>
      </c>
    </row>
    <row r="1142">
      <c r="A1142" s="18" t="n"/>
      <c r="B1142" s="19" t="n"/>
      <c r="C1142" s="19" t="n"/>
      <c r="D1142" s="19" t="n"/>
      <c r="E1142" s="20" t="n"/>
      <c r="F1142" s="20" t="n"/>
      <c r="G1142" s="19" t="n"/>
      <c r="H1142" s="21">
        <f>IF(A1142="","",YEAR(A1142)*100+MONTH(A1142))</f>
        <v/>
      </c>
    </row>
    <row r="1143">
      <c r="A1143" s="18" t="n"/>
      <c r="B1143" s="19" t="n"/>
      <c r="C1143" s="19" t="n"/>
      <c r="D1143" s="19" t="n"/>
      <c r="E1143" s="20" t="n"/>
      <c r="F1143" s="20" t="n"/>
      <c r="G1143" s="19" t="n"/>
      <c r="H1143" s="21">
        <f>IF(A1143="","",YEAR(A1143)*100+MONTH(A1143))</f>
        <v/>
      </c>
    </row>
    <row r="1144">
      <c r="A1144" s="18" t="n"/>
      <c r="B1144" s="19" t="n"/>
      <c r="C1144" s="19" t="n"/>
      <c r="D1144" s="19" t="n"/>
      <c r="E1144" s="20" t="n"/>
      <c r="F1144" s="20" t="n"/>
      <c r="G1144" s="19" t="n"/>
      <c r="H1144" s="21">
        <f>IF(A1144="","",YEAR(A1144)*100+MONTH(A1144))</f>
        <v/>
      </c>
    </row>
    <row r="1145">
      <c r="A1145" s="18" t="n"/>
      <c r="B1145" s="19" t="n"/>
      <c r="C1145" s="19" t="n"/>
      <c r="D1145" s="19" t="n"/>
      <c r="E1145" s="20" t="n"/>
      <c r="F1145" s="20" t="n"/>
      <c r="G1145" s="19" t="n"/>
      <c r="H1145" s="21">
        <f>IF(A1145="","",YEAR(A1145)*100+MONTH(A1145))</f>
        <v/>
      </c>
    </row>
    <row r="1146">
      <c r="A1146" s="18" t="n"/>
      <c r="B1146" s="19" t="n"/>
      <c r="C1146" s="19" t="n"/>
      <c r="D1146" s="19" t="n"/>
      <c r="E1146" s="20" t="n"/>
      <c r="F1146" s="20" t="n"/>
      <c r="G1146" s="19" t="n"/>
      <c r="H1146" s="21">
        <f>IF(A1146="","",YEAR(A1146)*100+MONTH(A1146))</f>
        <v/>
      </c>
    </row>
    <row r="1147">
      <c r="A1147" s="18" t="n"/>
      <c r="B1147" s="19" t="n"/>
      <c r="C1147" s="19" t="n"/>
      <c r="D1147" s="19" t="n"/>
      <c r="E1147" s="20" t="n"/>
      <c r="F1147" s="20" t="n"/>
      <c r="G1147" s="19" t="n"/>
      <c r="H1147" s="21">
        <f>IF(A1147="","",YEAR(A1147)*100+MONTH(A1147))</f>
        <v/>
      </c>
    </row>
    <row r="1148">
      <c r="A1148" s="18" t="n"/>
      <c r="B1148" s="19" t="n"/>
      <c r="C1148" s="19" t="n"/>
      <c r="D1148" s="19" t="n"/>
      <c r="E1148" s="20" t="n"/>
      <c r="F1148" s="20" t="n"/>
      <c r="G1148" s="19" t="n"/>
      <c r="H1148" s="21">
        <f>IF(A1148="","",YEAR(A1148)*100+MONTH(A1148))</f>
        <v/>
      </c>
    </row>
    <row r="1149">
      <c r="A1149" s="18" t="n"/>
      <c r="B1149" s="19" t="n"/>
      <c r="C1149" s="19" t="n"/>
      <c r="D1149" s="19" t="n"/>
      <c r="E1149" s="20" t="n"/>
      <c r="F1149" s="20" t="n"/>
      <c r="G1149" s="19" t="n"/>
      <c r="H1149" s="21">
        <f>IF(A1149="","",YEAR(A1149)*100+MONTH(A1149))</f>
        <v/>
      </c>
    </row>
    <row r="1150">
      <c r="A1150" s="18" t="n"/>
      <c r="B1150" s="19" t="n"/>
      <c r="C1150" s="19" t="n"/>
      <c r="D1150" s="19" t="n"/>
      <c r="E1150" s="20" t="n"/>
      <c r="F1150" s="20" t="n"/>
      <c r="G1150" s="19" t="n"/>
      <c r="H1150" s="21">
        <f>IF(A1150="","",YEAR(A1150)*100+MONTH(A1150))</f>
        <v/>
      </c>
    </row>
    <row r="1151">
      <c r="A1151" s="18" t="n"/>
      <c r="B1151" s="19" t="n"/>
      <c r="C1151" s="19" t="n"/>
      <c r="D1151" s="19" t="n"/>
      <c r="E1151" s="20" t="n"/>
      <c r="F1151" s="20" t="n"/>
      <c r="G1151" s="19" t="n"/>
      <c r="H1151" s="21">
        <f>IF(A1151="","",YEAR(A1151)*100+MONTH(A1151))</f>
        <v/>
      </c>
    </row>
    <row r="1152">
      <c r="A1152" s="18" t="n"/>
      <c r="B1152" s="19" t="n"/>
      <c r="C1152" s="19" t="n"/>
      <c r="D1152" s="19" t="n"/>
      <c r="E1152" s="20" t="n"/>
      <c r="F1152" s="20" t="n"/>
      <c r="G1152" s="19" t="n"/>
      <c r="H1152" s="21">
        <f>IF(A1152="","",YEAR(A1152)*100+MONTH(A1152))</f>
        <v/>
      </c>
    </row>
    <row r="1153">
      <c r="A1153" s="18" t="n"/>
      <c r="B1153" s="19" t="n"/>
      <c r="C1153" s="19" t="n"/>
      <c r="D1153" s="19" t="n"/>
      <c r="E1153" s="20" t="n"/>
      <c r="F1153" s="20" t="n"/>
      <c r="G1153" s="19" t="n"/>
      <c r="H1153" s="21">
        <f>IF(A1153="","",YEAR(A1153)*100+MONTH(A1153))</f>
        <v/>
      </c>
    </row>
    <row r="1154">
      <c r="A1154" s="18" t="n"/>
      <c r="B1154" s="19" t="n"/>
      <c r="C1154" s="19" t="n"/>
      <c r="D1154" s="19" t="n"/>
      <c r="E1154" s="20" t="n"/>
      <c r="F1154" s="20" t="n"/>
      <c r="G1154" s="19" t="n"/>
      <c r="H1154" s="21">
        <f>IF(A1154="","",YEAR(A1154)*100+MONTH(A1154))</f>
        <v/>
      </c>
    </row>
    <row r="1155">
      <c r="A1155" s="18" t="n"/>
      <c r="B1155" s="19" t="n"/>
      <c r="C1155" s="19" t="n"/>
      <c r="D1155" s="19" t="n"/>
      <c r="E1155" s="20" t="n"/>
      <c r="F1155" s="20" t="n"/>
      <c r="G1155" s="19" t="n"/>
      <c r="H1155" s="21">
        <f>IF(A1155="","",YEAR(A1155)*100+MONTH(A1155))</f>
        <v/>
      </c>
    </row>
    <row r="1156">
      <c r="A1156" s="18" t="n"/>
      <c r="B1156" s="19" t="n"/>
      <c r="C1156" s="19" t="n"/>
      <c r="D1156" s="19" t="n"/>
      <c r="E1156" s="20" t="n"/>
      <c r="F1156" s="20" t="n"/>
      <c r="G1156" s="19" t="n"/>
      <c r="H1156" s="21">
        <f>IF(A1156="","",YEAR(A1156)*100+MONTH(A1156))</f>
        <v/>
      </c>
    </row>
    <row r="1157">
      <c r="A1157" s="18" t="n"/>
      <c r="B1157" s="19" t="n"/>
      <c r="C1157" s="19" t="n"/>
      <c r="D1157" s="19" t="n"/>
      <c r="E1157" s="20" t="n"/>
      <c r="F1157" s="20" t="n"/>
      <c r="G1157" s="19" t="n"/>
      <c r="H1157" s="21">
        <f>IF(A1157="","",YEAR(A1157)*100+MONTH(A1157))</f>
        <v/>
      </c>
    </row>
    <row r="1158">
      <c r="A1158" s="18" t="n"/>
      <c r="B1158" s="19" t="n"/>
      <c r="C1158" s="19" t="n"/>
      <c r="D1158" s="19" t="n"/>
      <c r="E1158" s="20" t="n"/>
      <c r="F1158" s="20" t="n"/>
      <c r="G1158" s="19" t="n"/>
      <c r="H1158" s="21">
        <f>IF(A1158="","",YEAR(A1158)*100+MONTH(A1158))</f>
        <v/>
      </c>
    </row>
    <row r="1159">
      <c r="A1159" s="18" t="n"/>
      <c r="B1159" s="19" t="n"/>
      <c r="C1159" s="19" t="n"/>
      <c r="D1159" s="19" t="n"/>
      <c r="E1159" s="20" t="n"/>
      <c r="F1159" s="20" t="n"/>
      <c r="G1159" s="19" t="n"/>
      <c r="H1159" s="21">
        <f>IF(A1159="","",YEAR(A1159)*100+MONTH(A1159))</f>
        <v/>
      </c>
    </row>
    <row r="1160">
      <c r="A1160" s="18" t="n"/>
      <c r="B1160" s="19" t="n"/>
      <c r="C1160" s="19" t="n"/>
      <c r="D1160" s="19" t="n"/>
      <c r="E1160" s="20" t="n"/>
      <c r="F1160" s="20" t="n"/>
      <c r="G1160" s="19" t="n"/>
      <c r="H1160" s="21">
        <f>IF(A1160="","",YEAR(A1160)*100+MONTH(A1160))</f>
        <v/>
      </c>
    </row>
    <row r="1161">
      <c r="A1161" s="18" t="n"/>
      <c r="B1161" s="19" t="n"/>
      <c r="C1161" s="19" t="n"/>
      <c r="D1161" s="19" t="n"/>
      <c r="E1161" s="20" t="n"/>
      <c r="F1161" s="20" t="n"/>
      <c r="G1161" s="19" t="n"/>
      <c r="H1161" s="21">
        <f>IF(A1161="","",YEAR(A1161)*100+MONTH(A1161))</f>
        <v/>
      </c>
    </row>
    <row r="1162">
      <c r="A1162" s="18" t="n"/>
      <c r="B1162" s="19" t="n"/>
      <c r="C1162" s="19" t="n"/>
      <c r="D1162" s="19" t="n"/>
      <c r="E1162" s="20" t="n"/>
      <c r="F1162" s="20" t="n"/>
      <c r="G1162" s="19" t="n"/>
      <c r="H1162" s="21">
        <f>IF(A1162="","",YEAR(A1162)*100+MONTH(A1162))</f>
        <v/>
      </c>
    </row>
    <row r="1163">
      <c r="A1163" s="18" t="n"/>
      <c r="B1163" s="19" t="n"/>
      <c r="C1163" s="19" t="n"/>
      <c r="D1163" s="19" t="n"/>
      <c r="E1163" s="20" t="n"/>
      <c r="F1163" s="20" t="n"/>
      <c r="G1163" s="19" t="n"/>
      <c r="H1163" s="21">
        <f>IF(A1163="","",YEAR(A1163)*100+MONTH(A1163))</f>
        <v/>
      </c>
    </row>
    <row r="1164">
      <c r="A1164" s="18" t="n"/>
      <c r="B1164" s="19" t="n"/>
      <c r="C1164" s="19" t="n"/>
      <c r="D1164" s="19" t="n"/>
      <c r="E1164" s="20" t="n"/>
      <c r="F1164" s="20" t="n"/>
      <c r="G1164" s="19" t="n"/>
      <c r="H1164" s="21">
        <f>IF(A1164="","",YEAR(A1164)*100+MONTH(A1164))</f>
        <v/>
      </c>
    </row>
    <row r="1165">
      <c r="A1165" s="18" t="n"/>
      <c r="B1165" s="19" t="n"/>
      <c r="C1165" s="19" t="n"/>
      <c r="D1165" s="19" t="n"/>
      <c r="E1165" s="20" t="n"/>
      <c r="F1165" s="20" t="n"/>
      <c r="G1165" s="19" t="n"/>
      <c r="H1165" s="21">
        <f>IF(A1165="","",YEAR(A1165)*100+MONTH(A1165))</f>
        <v/>
      </c>
    </row>
    <row r="1166">
      <c r="A1166" s="18" t="n"/>
      <c r="B1166" s="19" t="n"/>
      <c r="C1166" s="19" t="n"/>
      <c r="D1166" s="19" t="n"/>
      <c r="E1166" s="20" t="n"/>
      <c r="F1166" s="20" t="n"/>
      <c r="G1166" s="19" t="n"/>
      <c r="H1166" s="21">
        <f>IF(A1166="","",YEAR(A1166)*100+MONTH(A1166))</f>
        <v/>
      </c>
    </row>
    <row r="1167">
      <c r="A1167" s="18" t="n"/>
      <c r="B1167" s="19" t="n"/>
      <c r="C1167" s="19" t="n"/>
      <c r="D1167" s="19" t="n"/>
      <c r="E1167" s="20" t="n"/>
      <c r="F1167" s="20" t="n"/>
      <c r="G1167" s="19" t="n"/>
      <c r="H1167" s="21">
        <f>IF(A1167="","",YEAR(A1167)*100+MONTH(A1167))</f>
        <v/>
      </c>
    </row>
    <row r="1168">
      <c r="A1168" s="18" t="n"/>
      <c r="B1168" s="19" t="n"/>
      <c r="C1168" s="19" t="n"/>
      <c r="D1168" s="19" t="n"/>
      <c r="E1168" s="20" t="n"/>
      <c r="F1168" s="20" t="n"/>
      <c r="G1168" s="19" t="n"/>
      <c r="H1168" s="21">
        <f>IF(A1168="","",YEAR(A1168)*100+MONTH(A1168))</f>
        <v/>
      </c>
    </row>
    <row r="1169">
      <c r="A1169" s="18" t="n"/>
      <c r="B1169" s="19" t="n"/>
      <c r="C1169" s="19" t="n"/>
      <c r="D1169" s="19" t="n"/>
      <c r="E1169" s="20" t="n"/>
      <c r="F1169" s="20" t="n"/>
      <c r="G1169" s="19" t="n"/>
      <c r="H1169" s="21">
        <f>IF(A1169="","",YEAR(A1169)*100+MONTH(A1169))</f>
        <v/>
      </c>
    </row>
    <row r="1170">
      <c r="A1170" s="18" t="n"/>
      <c r="B1170" s="19" t="n"/>
      <c r="C1170" s="19" t="n"/>
      <c r="D1170" s="19" t="n"/>
      <c r="E1170" s="20" t="n"/>
      <c r="F1170" s="20" t="n"/>
      <c r="G1170" s="19" t="n"/>
      <c r="H1170" s="21">
        <f>IF(A1170="","",YEAR(A1170)*100+MONTH(A1170))</f>
        <v/>
      </c>
    </row>
    <row r="1171">
      <c r="A1171" s="18" t="n"/>
      <c r="B1171" s="19" t="n"/>
      <c r="C1171" s="19" t="n"/>
      <c r="D1171" s="19" t="n"/>
      <c r="E1171" s="20" t="n"/>
      <c r="F1171" s="20" t="n"/>
      <c r="G1171" s="19" t="n"/>
      <c r="H1171" s="21">
        <f>IF(A1171="","",YEAR(A1171)*100+MONTH(A1171))</f>
        <v/>
      </c>
    </row>
    <row r="1172">
      <c r="A1172" s="18" t="n"/>
      <c r="B1172" s="19" t="n"/>
      <c r="C1172" s="19" t="n"/>
      <c r="D1172" s="19" t="n"/>
      <c r="E1172" s="20" t="n"/>
      <c r="F1172" s="20" t="n"/>
      <c r="G1172" s="19" t="n"/>
      <c r="H1172" s="21">
        <f>IF(A1172="","",YEAR(A1172)*100+MONTH(A1172))</f>
        <v/>
      </c>
    </row>
    <row r="1173">
      <c r="A1173" s="18" t="n"/>
      <c r="B1173" s="19" t="n"/>
      <c r="C1173" s="19" t="n"/>
      <c r="D1173" s="19" t="n"/>
      <c r="E1173" s="20" t="n"/>
      <c r="F1173" s="20" t="n"/>
      <c r="G1173" s="19" t="n"/>
      <c r="H1173" s="21">
        <f>IF(A1173="","",YEAR(A1173)*100+MONTH(A1173))</f>
        <v/>
      </c>
    </row>
    <row r="1174">
      <c r="A1174" s="18" t="n"/>
      <c r="B1174" s="19" t="n"/>
      <c r="C1174" s="19" t="n"/>
      <c r="D1174" s="19" t="n"/>
      <c r="E1174" s="20" t="n"/>
      <c r="F1174" s="20" t="n"/>
      <c r="G1174" s="19" t="n"/>
      <c r="H1174" s="21">
        <f>IF(A1174="","",YEAR(A1174)*100+MONTH(A1174))</f>
        <v/>
      </c>
    </row>
    <row r="1175">
      <c r="A1175" s="18" t="n"/>
      <c r="B1175" s="19" t="n"/>
      <c r="C1175" s="19" t="n"/>
      <c r="D1175" s="19" t="n"/>
      <c r="E1175" s="20" t="n"/>
      <c r="F1175" s="20" t="n"/>
      <c r="G1175" s="19" t="n"/>
      <c r="H1175" s="21">
        <f>IF(A1175="","",YEAR(A1175)*100+MONTH(A1175))</f>
        <v/>
      </c>
    </row>
    <row r="1176">
      <c r="A1176" s="18" t="n"/>
      <c r="B1176" s="19" t="n"/>
      <c r="C1176" s="19" t="n"/>
      <c r="D1176" s="19" t="n"/>
      <c r="E1176" s="20" t="n"/>
      <c r="F1176" s="20" t="n"/>
      <c r="G1176" s="19" t="n"/>
      <c r="H1176" s="21">
        <f>IF(A1176="","",YEAR(A1176)*100+MONTH(A1176))</f>
        <v/>
      </c>
    </row>
    <row r="1177">
      <c r="A1177" s="18" t="n"/>
      <c r="B1177" s="19" t="n"/>
      <c r="C1177" s="19" t="n"/>
      <c r="D1177" s="19" t="n"/>
      <c r="E1177" s="20" t="n"/>
      <c r="F1177" s="20" t="n"/>
      <c r="G1177" s="19" t="n"/>
      <c r="H1177" s="21">
        <f>IF(A1177="","",YEAR(A1177)*100+MONTH(A1177))</f>
        <v/>
      </c>
    </row>
    <row r="1178">
      <c r="A1178" s="18" t="n"/>
      <c r="B1178" s="19" t="n"/>
      <c r="C1178" s="19" t="n"/>
      <c r="D1178" s="19" t="n"/>
      <c r="E1178" s="20" t="n"/>
      <c r="F1178" s="20" t="n"/>
      <c r="G1178" s="19" t="n"/>
      <c r="H1178" s="21">
        <f>IF(A1178="","",YEAR(A1178)*100+MONTH(A1178))</f>
        <v/>
      </c>
    </row>
    <row r="1179">
      <c r="A1179" s="18" t="n"/>
      <c r="B1179" s="19" t="n"/>
      <c r="C1179" s="19" t="n"/>
      <c r="D1179" s="19" t="n"/>
      <c r="E1179" s="20" t="n"/>
      <c r="F1179" s="20" t="n"/>
      <c r="G1179" s="19" t="n"/>
      <c r="H1179" s="21">
        <f>IF(A1179="","",YEAR(A1179)*100+MONTH(A1179))</f>
        <v/>
      </c>
    </row>
    <row r="1180">
      <c r="A1180" s="18" t="n"/>
      <c r="B1180" s="19" t="n"/>
      <c r="C1180" s="19" t="n"/>
      <c r="D1180" s="19" t="n"/>
      <c r="E1180" s="20" t="n"/>
      <c r="F1180" s="20" t="n"/>
      <c r="G1180" s="19" t="n"/>
      <c r="H1180" s="21">
        <f>IF(A1180="","",YEAR(A1180)*100+MONTH(A1180))</f>
        <v/>
      </c>
    </row>
    <row r="1181">
      <c r="A1181" s="18" t="n"/>
      <c r="B1181" s="19" t="n"/>
      <c r="C1181" s="19" t="n"/>
      <c r="D1181" s="19" t="n"/>
      <c r="E1181" s="20" t="n"/>
      <c r="F1181" s="20" t="n"/>
      <c r="G1181" s="19" t="n"/>
      <c r="H1181" s="21">
        <f>IF(A1181="","",YEAR(A1181)*100+MONTH(A1181))</f>
        <v/>
      </c>
    </row>
    <row r="1182">
      <c r="A1182" s="18" t="n"/>
      <c r="B1182" s="19" t="n"/>
      <c r="C1182" s="19" t="n"/>
      <c r="D1182" s="19" t="n"/>
      <c r="E1182" s="20" t="n"/>
      <c r="F1182" s="20" t="n"/>
      <c r="G1182" s="19" t="n"/>
      <c r="H1182" s="21">
        <f>IF(A1182="","",YEAR(A1182)*100+MONTH(A1182))</f>
        <v/>
      </c>
    </row>
    <row r="1183">
      <c r="A1183" s="18" t="n"/>
      <c r="B1183" s="19" t="n"/>
      <c r="C1183" s="19" t="n"/>
      <c r="D1183" s="19" t="n"/>
      <c r="E1183" s="20" t="n"/>
      <c r="F1183" s="20" t="n"/>
      <c r="G1183" s="19" t="n"/>
      <c r="H1183" s="21">
        <f>IF(A1183="","",YEAR(A1183)*100+MONTH(A1183))</f>
        <v/>
      </c>
    </row>
    <row r="1184">
      <c r="A1184" s="18" t="n"/>
      <c r="B1184" s="19" t="n"/>
      <c r="C1184" s="19" t="n"/>
      <c r="D1184" s="19" t="n"/>
      <c r="E1184" s="20" t="n"/>
      <c r="F1184" s="20" t="n"/>
      <c r="G1184" s="19" t="n"/>
      <c r="H1184" s="21">
        <f>IF(A1184="","",YEAR(A1184)*100+MONTH(A1184))</f>
        <v/>
      </c>
    </row>
    <row r="1185">
      <c r="A1185" s="18" t="n"/>
      <c r="B1185" s="19" t="n"/>
      <c r="C1185" s="19" t="n"/>
      <c r="D1185" s="19" t="n"/>
      <c r="E1185" s="20" t="n"/>
      <c r="F1185" s="20" t="n"/>
      <c r="G1185" s="19" t="n"/>
      <c r="H1185" s="21">
        <f>IF(A1185="","",YEAR(A1185)*100+MONTH(A1185))</f>
        <v/>
      </c>
    </row>
    <row r="1186">
      <c r="A1186" s="18" t="n"/>
      <c r="B1186" s="19" t="n"/>
      <c r="C1186" s="19" t="n"/>
      <c r="D1186" s="19" t="n"/>
      <c r="E1186" s="20" t="n"/>
      <c r="F1186" s="20" t="n"/>
      <c r="G1186" s="19" t="n"/>
      <c r="H1186" s="21">
        <f>IF(A1186="","",YEAR(A1186)*100+MONTH(A1186))</f>
        <v/>
      </c>
    </row>
    <row r="1187">
      <c r="A1187" s="18" t="n"/>
      <c r="B1187" s="19" t="n"/>
      <c r="C1187" s="19" t="n"/>
      <c r="D1187" s="19" t="n"/>
      <c r="E1187" s="20" t="n"/>
      <c r="F1187" s="20" t="n"/>
      <c r="G1187" s="19" t="n"/>
      <c r="H1187" s="21">
        <f>IF(A1187="","",YEAR(A1187)*100+MONTH(A1187))</f>
        <v/>
      </c>
    </row>
    <row r="1188">
      <c r="A1188" s="18" t="n"/>
      <c r="B1188" s="19" t="n"/>
      <c r="C1188" s="19" t="n"/>
      <c r="D1188" s="19" t="n"/>
      <c r="E1188" s="20" t="n"/>
      <c r="F1188" s="20" t="n"/>
      <c r="G1188" s="19" t="n"/>
      <c r="H1188" s="21">
        <f>IF(A1188="","",YEAR(A1188)*100+MONTH(A1188))</f>
        <v/>
      </c>
    </row>
    <row r="1189">
      <c r="A1189" s="18" t="n"/>
      <c r="B1189" s="19" t="n"/>
      <c r="C1189" s="19" t="n"/>
      <c r="D1189" s="19" t="n"/>
      <c r="E1189" s="20" t="n"/>
      <c r="F1189" s="20" t="n"/>
      <c r="G1189" s="19" t="n"/>
      <c r="H1189" s="21">
        <f>IF(A1189="","",YEAR(A1189)*100+MONTH(A1189))</f>
        <v/>
      </c>
    </row>
    <row r="1190">
      <c r="A1190" s="18" t="n"/>
      <c r="B1190" s="19" t="n"/>
      <c r="C1190" s="19" t="n"/>
      <c r="D1190" s="19" t="n"/>
      <c r="E1190" s="20" t="n"/>
      <c r="F1190" s="20" t="n"/>
      <c r="G1190" s="19" t="n"/>
      <c r="H1190" s="21">
        <f>IF(A1190="","",YEAR(A1190)*100+MONTH(A1190))</f>
        <v/>
      </c>
    </row>
    <row r="1191">
      <c r="A1191" s="18" t="n"/>
      <c r="B1191" s="19" t="n"/>
      <c r="C1191" s="19" t="n"/>
      <c r="D1191" s="19" t="n"/>
      <c r="E1191" s="20" t="n"/>
      <c r="F1191" s="20" t="n"/>
      <c r="G1191" s="19" t="n"/>
      <c r="H1191" s="21">
        <f>IF(A1191="","",YEAR(A1191)*100+MONTH(A1191))</f>
        <v/>
      </c>
    </row>
    <row r="1192">
      <c r="A1192" s="18" t="n"/>
      <c r="B1192" s="19" t="n"/>
      <c r="C1192" s="19" t="n"/>
      <c r="D1192" s="19" t="n"/>
      <c r="E1192" s="20" t="n"/>
      <c r="F1192" s="20" t="n"/>
      <c r="G1192" s="19" t="n"/>
      <c r="H1192" s="21">
        <f>IF(A1192="","",YEAR(A1192)*100+MONTH(A1192))</f>
        <v/>
      </c>
    </row>
    <row r="1193">
      <c r="A1193" s="18" t="n"/>
      <c r="B1193" s="19" t="n"/>
      <c r="C1193" s="19" t="n"/>
      <c r="D1193" s="19" t="n"/>
      <c r="E1193" s="20" t="n"/>
      <c r="F1193" s="20" t="n"/>
      <c r="G1193" s="19" t="n"/>
      <c r="H1193" s="21">
        <f>IF(A1193="","",YEAR(A1193)*100+MONTH(A1193))</f>
        <v/>
      </c>
    </row>
    <row r="1194">
      <c r="A1194" s="18" t="n"/>
      <c r="B1194" s="19" t="n"/>
      <c r="C1194" s="19" t="n"/>
      <c r="D1194" s="19" t="n"/>
      <c r="E1194" s="20" t="n"/>
      <c r="F1194" s="20" t="n"/>
      <c r="G1194" s="19" t="n"/>
      <c r="H1194" s="21">
        <f>IF(A1194="","",YEAR(A1194)*100+MONTH(A1194))</f>
        <v/>
      </c>
    </row>
    <row r="1195">
      <c r="A1195" s="18" t="n"/>
      <c r="B1195" s="19" t="n"/>
      <c r="C1195" s="19" t="n"/>
      <c r="D1195" s="19" t="n"/>
      <c r="E1195" s="20" t="n"/>
      <c r="F1195" s="20" t="n"/>
      <c r="G1195" s="19" t="n"/>
      <c r="H1195" s="21">
        <f>IF(A1195="","",YEAR(A1195)*100+MONTH(A1195))</f>
        <v/>
      </c>
    </row>
    <row r="1196">
      <c r="A1196" s="18" t="n"/>
      <c r="B1196" s="19" t="n"/>
      <c r="C1196" s="19" t="n"/>
      <c r="D1196" s="19" t="n"/>
      <c r="E1196" s="20" t="n"/>
      <c r="F1196" s="20" t="n"/>
      <c r="G1196" s="19" t="n"/>
      <c r="H1196" s="21">
        <f>IF(A1196="","",YEAR(A1196)*100+MONTH(A1196))</f>
        <v/>
      </c>
    </row>
    <row r="1197">
      <c r="A1197" s="18" t="n"/>
      <c r="B1197" s="19" t="n"/>
      <c r="C1197" s="19" t="n"/>
      <c r="D1197" s="19" t="n"/>
      <c r="E1197" s="20" t="n"/>
      <c r="F1197" s="20" t="n"/>
      <c r="G1197" s="19" t="n"/>
      <c r="H1197" s="21">
        <f>IF(A1197="","",YEAR(A1197)*100+MONTH(A1197))</f>
        <v/>
      </c>
    </row>
    <row r="1198">
      <c r="A1198" s="18" t="n"/>
      <c r="B1198" s="19" t="n"/>
      <c r="C1198" s="19" t="n"/>
      <c r="D1198" s="19" t="n"/>
      <c r="E1198" s="20" t="n"/>
      <c r="F1198" s="20" t="n"/>
      <c r="G1198" s="19" t="n"/>
      <c r="H1198" s="21">
        <f>IF(A1198="","",YEAR(A1198)*100+MONTH(A1198))</f>
        <v/>
      </c>
    </row>
    <row r="1199">
      <c r="A1199" s="18" t="n"/>
      <c r="B1199" s="19" t="n"/>
      <c r="C1199" s="19" t="n"/>
      <c r="D1199" s="19" t="n"/>
      <c r="E1199" s="20" t="n"/>
      <c r="F1199" s="20" t="n"/>
      <c r="G1199" s="19" t="n"/>
      <c r="H1199" s="21">
        <f>IF(A1199="","",YEAR(A1199)*100+MONTH(A1199))</f>
        <v/>
      </c>
    </row>
    <row r="1200">
      <c r="A1200" s="18" t="n"/>
      <c r="B1200" s="19" t="n"/>
      <c r="C1200" s="19" t="n"/>
      <c r="D1200" s="19" t="n"/>
      <c r="E1200" s="20" t="n"/>
      <c r="F1200" s="20" t="n"/>
      <c r="G1200" s="19" t="n"/>
      <c r="H1200" s="21">
        <f>IF(A1200="","",YEAR(A1200)*100+MONTH(A1200))</f>
        <v/>
      </c>
    </row>
    <row r="1201">
      <c r="A1201" s="18" t="n"/>
      <c r="B1201" s="19" t="n"/>
      <c r="C1201" s="19" t="n"/>
      <c r="D1201" s="19" t="n"/>
      <c r="E1201" s="20" t="n"/>
      <c r="F1201" s="20" t="n"/>
      <c r="G1201" s="19" t="n"/>
      <c r="H1201" s="21">
        <f>IF(A1201="","",YEAR(A1201)*100+MONTH(A1201))</f>
        <v/>
      </c>
    </row>
    <row r="1202">
      <c r="A1202" s="18" t="n"/>
      <c r="B1202" s="19" t="n"/>
      <c r="C1202" s="19" t="n"/>
      <c r="D1202" s="19" t="n"/>
      <c r="E1202" s="20" t="n"/>
      <c r="F1202" s="20" t="n"/>
      <c r="G1202" s="19" t="n"/>
      <c r="H1202" s="21">
        <f>IF(A1202="","",YEAR(A1202)*100+MONTH(A1202))</f>
        <v/>
      </c>
    </row>
    <row r="1203">
      <c r="A1203" s="18" t="n"/>
      <c r="B1203" s="19" t="n"/>
      <c r="C1203" s="19" t="n"/>
      <c r="D1203" s="19" t="n"/>
      <c r="E1203" s="20" t="n"/>
      <c r="F1203" s="20" t="n"/>
      <c r="G1203" s="19" t="n"/>
      <c r="H1203" s="21">
        <f>IF(A1203="","",YEAR(A1203)*100+MONTH(A1203))</f>
        <v/>
      </c>
    </row>
    <row r="1204">
      <c r="A1204" s="18" t="n"/>
      <c r="B1204" s="19" t="n"/>
      <c r="C1204" s="19" t="n"/>
      <c r="D1204" s="19" t="n"/>
      <c r="E1204" s="20" t="n"/>
      <c r="F1204" s="20" t="n"/>
      <c r="G1204" s="19" t="n"/>
      <c r="H1204" s="21">
        <f>IF(A1204="","",YEAR(A1204)*100+MONTH(A1204))</f>
        <v/>
      </c>
    </row>
    <row r="1205">
      <c r="A1205" s="18" t="n"/>
      <c r="B1205" s="19" t="n"/>
      <c r="C1205" s="19" t="n"/>
      <c r="D1205" s="19" t="n"/>
      <c r="E1205" s="20" t="n"/>
      <c r="F1205" s="20" t="n"/>
      <c r="G1205" s="19" t="n"/>
      <c r="H1205" s="21">
        <f>IF(A1205="","",YEAR(A1205)*100+MONTH(A1205))</f>
        <v/>
      </c>
    </row>
    <row r="1206">
      <c r="A1206" s="18" t="n"/>
      <c r="B1206" s="19" t="n"/>
      <c r="C1206" s="19" t="n"/>
      <c r="D1206" s="19" t="n"/>
      <c r="E1206" s="20" t="n"/>
      <c r="F1206" s="20" t="n"/>
      <c r="G1206" s="19" t="n"/>
      <c r="H1206" s="21">
        <f>IF(A1206="","",YEAR(A1206)*100+MONTH(A1206))</f>
        <v/>
      </c>
    </row>
    <row r="1207">
      <c r="A1207" s="18" t="n"/>
      <c r="B1207" s="19" t="n"/>
      <c r="C1207" s="19" t="n"/>
      <c r="D1207" s="19" t="n"/>
      <c r="E1207" s="20" t="n"/>
      <c r="F1207" s="20" t="n"/>
      <c r="G1207" s="19" t="n"/>
      <c r="H1207" s="21">
        <f>IF(A1207="","",YEAR(A1207)*100+MONTH(A1207))</f>
        <v/>
      </c>
    </row>
    <row r="1208">
      <c r="A1208" s="18" t="n"/>
      <c r="B1208" s="19" t="n"/>
      <c r="C1208" s="19" t="n"/>
      <c r="D1208" s="19" t="n"/>
      <c r="E1208" s="20" t="n"/>
      <c r="F1208" s="20" t="n"/>
      <c r="G1208" s="19" t="n"/>
      <c r="H1208" s="21">
        <f>IF(A1208="","",YEAR(A1208)*100+MONTH(A1208))</f>
        <v/>
      </c>
    </row>
    <row r="1209">
      <c r="A1209" s="18" t="n"/>
      <c r="B1209" s="19" t="n"/>
      <c r="C1209" s="19" t="n"/>
      <c r="D1209" s="19" t="n"/>
      <c r="E1209" s="20" t="n"/>
      <c r="F1209" s="20" t="n"/>
      <c r="G1209" s="19" t="n"/>
      <c r="H1209" s="21">
        <f>IF(A1209="","",YEAR(A1209)*100+MONTH(A1209))</f>
        <v/>
      </c>
    </row>
    <row r="1210">
      <c r="A1210" s="18" t="n"/>
      <c r="B1210" s="19" t="n"/>
      <c r="C1210" s="19" t="n"/>
      <c r="D1210" s="19" t="n"/>
      <c r="E1210" s="20" t="n"/>
      <c r="F1210" s="20" t="n"/>
      <c r="G1210" s="19" t="n"/>
      <c r="H1210" s="21">
        <f>IF(A1210="","",YEAR(A1210)*100+MONTH(A1210))</f>
        <v/>
      </c>
    </row>
    <row r="1211">
      <c r="A1211" s="18" t="n"/>
      <c r="B1211" s="19" t="n"/>
      <c r="C1211" s="19" t="n"/>
      <c r="D1211" s="19" t="n"/>
      <c r="E1211" s="20" t="n"/>
      <c r="F1211" s="20" t="n"/>
      <c r="G1211" s="19" t="n"/>
      <c r="H1211" s="21">
        <f>IF(A1211="","",YEAR(A1211)*100+MONTH(A1211))</f>
        <v/>
      </c>
    </row>
    <row r="1212">
      <c r="A1212" s="18" t="n"/>
      <c r="B1212" s="19" t="n"/>
      <c r="C1212" s="19" t="n"/>
      <c r="D1212" s="19" t="n"/>
      <c r="E1212" s="20" t="n"/>
      <c r="F1212" s="20" t="n"/>
      <c r="G1212" s="19" t="n"/>
      <c r="H1212" s="21">
        <f>IF(A1212="","",YEAR(A1212)*100+MONTH(A1212))</f>
        <v/>
      </c>
    </row>
    <row r="1213">
      <c r="A1213" s="18" t="n"/>
      <c r="B1213" s="19" t="n"/>
      <c r="C1213" s="19" t="n"/>
      <c r="D1213" s="19" t="n"/>
      <c r="E1213" s="20" t="n"/>
      <c r="F1213" s="20" t="n"/>
      <c r="G1213" s="19" t="n"/>
      <c r="H1213" s="21">
        <f>IF(A1213="","",YEAR(A1213)*100+MONTH(A1213))</f>
        <v/>
      </c>
    </row>
    <row r="1214">
      <c r="A1214" s="18" t="n"/>
      <c r="B1214" s="19" t="n"/>
      <c r="C1214" s="19" t="n"/>
      <c r="D1214" s="19" t="n"/>
      <c r="E1214" s="20" t="n"/>
      <c r="F1214" s="20" t="n"/>
      <c r="G1214" s="19" t="n"/>
      <c r="H1214" s="21">
        <f>IF(A1214="","",YEAR(A1214)*100+MONTH(A1214))</f>
        <v/>
      </c>
    </row>
    <row r="1215">
      <c r="A1215" s="18" t="n"/>
      <c r="B1215" s="19" t="n"/>
      <c r="C1215" s="19" t="n"/>
      <c r="D1215" s="19" t="n"/>
      <c r="E1215" s="20" t="n"/>
      <c r="F1215" s="20" t="n"/>
      <c r="G1215" s="19" t="n"/>
      <c r="H1215" s="21">
        <f>IF(A1215="","",YEAR(A1215)*100+MONTH(A1215))</f>
        <v/>
      </c>
    </row>
    <row r="1216">
      <c r="A1216" s="18" t="n"/>
      <c r="B1216" s="19" t="n"/>
      <c r="C1216" s="19" t="n"/>
      <c r="D1216" s="19" t="n"/>
      <c r="E1216" s="20" t="n"/>
      <c r="F1216" s="20" t="n"/>
      <c r="G1216" s="19" t="n"/>
      <c r="H1216" s="21">
        <f>IF(A1216="","",YEAR(A1216)*100+MONTH(A1216))</f>
        <v/>
      </c>
    </row>
    <row r="1217">
      <c r="A1217" s="18" t="n"/>
      <c r="B1217" s="19" t="n"/>
      <c r="C1217" s="19" t="n"/>
      <c r="D1217" s="19" t="n"/>
      <c r="E1217" s="20" t="n"/>
      <c r="F1217" s="20" t="n"/>
      <c r="G1217" s="19" t="n"/>
      <c r="H1217" s="21">
        <f>IF(A1217="","",YEAR(A1217)*100+MONTH(A1217))</f>
        <v/>
      </c>
    </row>
    <row r="1218">
      <c r="A1218" s="18" t="n"/>
      <c r="B1218" s="19" t="n"/>
      <c r="C1218" s="19" t="n"/>
      <c r="D1218" s="19" t="n"/>
      <c r="E1218" s="20" t="n"/>
      <c r="F1218" s="20" t="n"/>
      <c r="G1218" s="19" t="n"/>
      <c r="H1218" s="21">
        <f>IF(A1218="","",YEAR(A1218)*100+MONTH(A1218))</f>
        <v/>
      </c>
    </row>
    <row r="1219">
      <c r="A1219" s="18" t="n"/>
      <c r="B1219" s="19" t="n"/>
      <c r="C1219" s="19" t="n"/>
      <c r="D1219" s="19" t="n"/>
      <c r="E1219" s="20" t="n"/>
      <c r="F1219" s="20" t="n"/>
      <c r="G1219" s="19" t="n"/>
      <c r="H1219" s="21">
        <f>IF(A1219="","",YEAR(A1219)*100+MONTH(A1219))</f>
        <v/>
      </c>
    </row>
    <row r="1220">
      <c r="A1220" s="18" t="n"/>
      <c r="B1220" s="19" t="n"/>
      <c r="C1220" s="19" t="n"/>
      <c r="D1220" s="19" t="n"/>
      <c r="E1220" s="20" t="n"/>
      <c r="F1220" s="20" t="n"/>
      <c r="G1220" s="19" t="n"/>
      <c r="H1220" s="21">
        <f>IF(A1220="","",YEAR(A1220)*100+MONTH(A1220))</f>
        <v/>
      </c>
    </row>
    <row r="1221">
      <c r="A1221" s="18" t="n"/>
      <c r="B1221" s="19" t="n"/>
      <c r="C1221" s="19" t="n"/>
      <c r="D1221" s="19" t="n"/>
      <c r="E1221" s="20" t="n"/>
      <c r="F1221" s="20" t="n"/>
      <c r="G1221" s="19" t="n"/>
      <c r="H1221" s="21">
        <f>IF(A1221="","",YEAR(A1221)*100+MONTH(A1221))</f>
        <v/>
      </c>
    </row>
    <row r="1222">
      <c r="A1222" s="18" t="n"/>
      <c r="B1222" s="19" t="n"/>
      <c r="C1222" s="19" t="n"/>
      <c r="D1222" s="19" t="n"/>
      <c r="E1222" s="20" t="n"/>
      <c r="F1222" s="20" t="n"/>
      <c r="G1222" s="19" t="n"/>
      <c r="H1222" s="21">
        <f>IF(A1222="","",YEAR(A1222)*100+MONTH(A1222))</f>
        <v/>
      </c>
    </row>
    <row r="1223">
      <c r="A1223" s="18" t="n"/>
      <c r="B1223" s="19" t="n"/>
      <c r="C1223" s="19" t="n"/>
      <c r="D1223" s="19" t="n"/>
      <c r="E1223" s="20" t="n"/>
      <c r="F1223" s="20" t="n"/>
      <c r="G1223" s="19" t="n"/>
      <c r="H1223" s="21">
        <f>IF(A1223="","",YEAR(A1223)*100+MONTH(A1223))</f>
        <v/>
      </c>
    </row>
    <row r="1224">
      <c r="A1224" s="18" t="n"/>
      <c r="B1224" s="19" t="n"/>
      <c r="C1224" s="19" t="n"/>
      <c r="D1224" s="19" t="n"/>
      <c r="E1224" s="20" t="n"/>
      <c r="F1224" s="20" t="n"/>
      <c r="G1224" s="19" t="n"/>
      <c r="H1224" s="21">
        <f>IF(A1224="","",YEAR(A1224)*100+MONTH(A1224))</f>
        <v/>
      </c>
    </row>
    <row r="1225">
      <c r="A1225" s="18" t="n"/>
      <c r="B1225" s="19" t="n"/>
      <c r="C1225" s="19" t="n"/>
      <c r="D1225" s="19" t="n"/>
      <c r="E1225" s="20" t="n"/>
      <c r="F1225" s="20" t="n"/>
      <c r="G1225" s="19" t="n"/>
      <c r="H1225" s="21">
        <f>IF(A1225="","",YEAR(A1225)*100+MONTH(A1225))</f>
        <v/>
      </c>
    </row>
    <row r="1226">
      <c r="A1226" s="18" t="n"/>
      <c r="B1226" s="19" t="n"/>
      <c r="C1226" s="19" t="n"/>
      <c r="D1226" s="19" t="n"/>
      <c r="E1226" s="20" t="n"/>
      <c r="F1226" s="20" t="n"/>
      <c r="G1226" s="19" t="n"/>
      <c r="H1226" s="21">
        <f>IF(A1226="","",YEAR(A1226)*100+MONTH(A1226))</f>
        <v/>
      </c>
    </row>
    <row r="1227">
      <c r="A1227" s="18" t="n"/>
      <c r="B1227" s="19" t="n"/>
      <c r="C1227" s="19" t="n"/>
      <c r="D1227" s="19" t="n"/>
      <c r="E1227" s="20" t="n"/>
      <c r="F1227" s="20" t="n"/>
      <c r="G1227" s="19" t="n"/>
      <c r="H1227" s="21">
        <f>IF(A1227="","",YEAR(A1227)*100+MONTH(A1227))</f>
        <v/>
      </c>
    </row>
    <row r="1228">
      <c r="A1228" s="18" t="n"/>
      <c r="B1228" s="19" t="n"/>
      <c r="C1228" s="19" t="n"/>
      <c r="D1228" s="19" t="n"/>
      <c r="E1228" s="20" t="n"/>
      <c r="F1228" s="20" t="n"/>
      <c r="G1228" s="19" t="n"/>
      <c r="H1228" s="21">
        <f>IF(A1228="","",YEAR(A1228)*100+MONTH(A1228))</f>
        <v/>
      </c>
    </row>
    <row r="1229">
      <c r="A1229" s="18" t="n"/>
      <c r="B1229" s="19" t="n"/>
      <c r="C1229" s="19" t="n"/>
      <c r="D1229" s="19" t="n"/>
      <c r="E1229" s="20" t="n"/>
      <c r="F1229" s="20" t="n"/>
      <c r="G1229" s="19" t="n"/>
      <c r="H1229" s="21">
        <f>IF(A1229="","",YEAR(A1229)*100+MONTH(A1229))</f>
        <v/>
      </c>
    </row>
    <row r="1230">
      <c r="A1230" s="18" t="n"/>
      <c r="B1230" s="19" t="n"/>
      <c r="C1230" s="19" t="n"/>
      <c r="D1230" s="19" t="n"/>
      <c r="E1230" s="20" t="n"/>
      <c r="F1230" s="20" t="n"/>
      <c r="G1230" s="19" t="n"/>
      <c r="H1230" s="21">
        <f>IF(A1230="","",YEAR(A1230)*100+MONTH(A1230))</f>
        <v/>
      </c>
    </row>
    <row r="1231">
      <c r="A1231" s="18" t="n"/>
      <c r="B1231" s="19" t="n"/>
      <c r="C1231" s="19" t="n"/>
      <c r="D1231" s="19" t="n"/>
      <c r="E1231" s="20" t="n"/>
      <c r="F1231" s="20" t="n"/>
      <c r="G1231" s="19" t="n"/>
      <c r="H1231" s="21">
        <f>IF(A1231="","",YEAR(A1231)*100+MONTH(A1231))</f>
        <v/>
      </c>
    </row>
    <row r="1232">
      <c r="A1232" s="18" t="n"/>
      <c r="B1232" s="19" t="n"/>
      <c r="C1232" s="19" t="n"/>
      <c r="D1232" s="19" t="n"/>
      <c r="E1232" s="20" t="n"/>
      <c r="F1232" s="20" t="n"/>
      <c r="G1232" s="19" t="n"/>
      <c r="H1232" s="21">
        <f>IF(A1232="","",YEAR(A1232)*100+MONTH(A1232))</f>
        <v/>
      </c>
    </row>
    <row r="1233">
      <c r="A1233" s="18" t="n"/>
      <c r="B1233" s="19" t="n"/>
      <c r="C1233" s="19" t="n"/>
      <c r="D1233" s="19" t="n"/>
      <c r="E1233" s="20" t="n"/>
      <c r="F1233" s="20" t="n"/>
      <c r="G1233" s="19" t="n"/>
      <c r="H1233" s="21">
        <f>IF(A1233="","",YEAR(A1233)*100+MONTH(A1233))</f>
        <v/>
      </c>
    </row>
    <row r="1234">
      <c r="A1234" s="18" t="n"/>
      <c r="B1234" s="19" t="n"/>
      <c r="C1234" s="19" t="n"/>
      <c r="D1234" s="19" t="n"/>
      <c r="E1234" s="20" t="n"/>
      <c r="F1234" s="20" t="n"/>
      <c r="G1234" s="19" t="n"/>
      <c r="H1234" s="21">
        <f>IF(A1234="","",YEAR(A1234)*100+MONTH(A1234))</f>
        <v/>
      </c>
    </row>
    <row r="1235">
      <c r="A1235" s="18" t="n"/>
      <c r="B1235" s="19" t="n"/>
      <c r="C1235" s="19" t="n"/>
      <c r="D1235" s="19" t="n"/>
      <c r="E1235" s="20" t="n"/>
      <c r="F1235" s="20" t="n"/>
      <c r="G1235" s="19" t="n"/>
      <c r="H1235" s="21">
        <f>IF(A1235="","",YEAR(A1235)*100+MONTH(A1235))</f>
        <v/>
      </c>
    </row>
    <row r="1236">
      <c r="A1236" s="18" t="n"/>
      <c r="B1236" s="19" t="n"/>
      <c r="C1236" s="19" t="n"/>
      <c r="D1236" s="19" t="n"/>
      <c r="E1236" s="20" t="n"/>
      <c r="F1236" s="20" t="n"/>
      <c r="G1236" s="19" t="n"/>
      <c r="H1236" s="21">
        <f>IF(A1236="","",YEAR(A1236)*100+MONTH(A1236))</f>
        <v/>
      </c>
    </row>
    <row r="1237">
      <c r="A1237" s="18" t="n"/>
      <c r="B1237" s="19" t="n"/>
      <c r="C1237" s="19" t="n"/>
      <c r="D1237" s="19" t="n"/>
      <c r="E1237" s="20" t="n"/>
      <c r="F1237" s="20" t="n"/>
      <c r="G1237" s="19" t="n"/>
      <c r="H1237" s="21">
        <f>IF(A1237="","",YEAR(A1237)*100+MONTH(A1237))</f>
        <v/>
      </c>
    </row>
    <row r="1238">
      <c r="A1238" s="18" t="n"/>
      <c r="B1238" s="19" t="n"/>
      <c r="C1238" s="19" t="n"/>
      <c r="D1238" s="19" t="n"/>
      <c r="E1238" s="20" t="n"/>
      <c r="F1238" s="20" t="n"/>
      <c r="G1238" s="19" t="n"/>
      <c r="H1238" s="21">
        <f>IF(A1238="","",YEAR(A1238)*100+MONTH(A1238))</f>
        <v/>
      </c>
    </row>
    <row r="1239">
      <c r="A1239" s="18" t="n"/>
      <c r="B1239" s="19" t="n"/>
      <c r="C1239" s="19" t="n"/>
      <c r="D1239" s="19" t="n"/>
      <c r="E1239" s="20" t="n"/>
      <c r="F1239" s="20" t="n"/>
      <c r="G1239" s="19" t="n"/>
      <c r="H1239" s="21">
        <f>IF(A1239="","",YEAR(A1239)*100+MONTH(A1239))</f>
        <v/>
      </c>
    </row>
    <row r="1240">
      <c r="A1240" s="18" t="n"/>
      <c r="B1240" s="19" t="n"/>
      <c r="C1240" s="19" t="n"/>
      <c r="D1240" s="19" t="n"/>
      <c r="E1240" s="20" t="n"/>
      <c r="F1240" s="20" t="n"/>
      <c r="G1240" s="19" t="n"/>
      <c r="H1240" s="21">
        <f>IF(A1240="","",YEAR(A1240)*100+MONTH(A1240))</f>
        <v/>
      </c>
    </row>
    <row r="1241">
      <c r="A1241" s="18" t="n"/>
      <c r="B1241" s="19" t="n"/>
      <c r="C1241" s="19" t="n"/>
      <c r="D1241" s="19" t="n"/>
      <c r="E1241" s="20" t="n"/>
      <c r="F1241" s="20" t="n"/>
      <c r="G1241" s="19" t="n"/>
      <c r="H1241" s="21">
        <f>IF(A1241="","",YEAR(A1241)*100+MONTH(A1241))</f>
        <v/>
      </c>
    </row>
    <row r="1242">
      <c r="A1242" s="18" t="n"/>
      <c r="B1242" s="19" t="n"/>
      <c r="C1242" s="19" t="n"/>
      <c r="D1242" s="19" t="n"/>
      <c r="E1242" s="20" t="n"/>
      <c r="F1242" s="20" t="n"/>
      <c r="G1242" s="19" t="n"/>
      <c r="H1242" s="21">
        <f>IF(A1242="","",YEAR(A1242)*100+MONTH(A1242))</f>
        <v/>
      </c>
    </row>
    <row r="1243">
      <c r="A1243" s="18" t="n"/>
      <c r="B1243" s="19" t="n"/>
      <c r="C1243" s="19" t="n"/>
      <c r="D1243" s="19" t="n"/>
      <c r="E1243" s="20" t="n"/>
      <c r="F1243" s="20" t="n"/>
      <c r="G1243" s="19" t="n"/>
      <c r="H1243" s="21">
        <f>IF(A1243="","",YEAR(A1243)*100+MONTH(A1243))</f>
        <v/>
      </c>
    </row>
    <row r="1244">
      <c r="A1244" s="18" t="n"/>
      <c r="B1244" s="19" t="n"/>
      <c r="C1244" s="19" t="n"/>
      <c r="D1244" s="19" t="n"/>
      <c r="E1244" s="20" t="n"/>
      <c r="F1244" s="20" t="n"/>
      <c r="G1244" s="19" t="n"/>
      <c r="H1244" s="21">
        <f>IF(A1244="","",YEAR(A1244)*100+MONTH(A1244))</f>
        <v/>
      </c>
    </row>
    <row r="1245">
      <c r="A1245" s="18" t="n"/>
      <c r="B1245" s="19" t="n"/>
      <c r="C1245" s="19" t="n"/>
      <c r="D1245" s="19" t="n"/>
      <c r="E1245" s="20" t="n"/>
      <c r="F1245" s="20" t="n"/>
      <c r="G1245" s="19" t="n"/>
      <c r="H1245" s="21">
        <f>IF(A1245="","",YEAR(A1245)*100+MONTH(A1245))</f>
        <v/>
      </c>
    </row>
    <row r="1246">
      <c r="A1246" s="18" t="n"/>
      <c r="B1246" s="19" t="n"/>
      <c r="C1246" s="19" t="n"/>
      <c r="D1246" s="19" t="n"/>
      <c r="E1246" s="20" t="n"/>
      <c r="F1246" s="20" t="n"/>
      <c r="G1246" s="19" t="n"/>
      <c r="H1246" s="21">
        <f>IF(A1246="","",YEAR(A1246)*100+MONTH(A1246))</f>
        <v/>
      </c>
    </row>
    <row r="1247">
      <c r="A1247" s="18" t="n"/>
      <c r="B1247" s="19" t="n"/>
      <c r="C1247" s="19" t="n"/>
      <c r="D1247" s="19" t="n"/>
      <c r="E1247" s="20" t="n"/>
      <c r="F1247" s="20" t="n"/>
      <c r="G1247" s="19" t="n"/>
      <c r="H1247" s="21">
        <f>IF(A1247="","",YEAR(A1247)*100+MONTH(A1247))</f>
        <v/>
      </c>
    </row>
    <row r="1248">
      <c r="A1248" s="18" t="n"/>
      <c r="B1248" s="19" t="n"/>
      <c r="C1248" s="19" t="n"/>
      <c r="D1248" s="19" t="n"/>
      <c r="E1248" s="20" t="n"/>
      <c r="F1248" s="20" t="n"/>
      <c r="G1248" s="19" t="n"/>
      <c r="H1248" s="21">
        <f>IF(A1248="","",YEAR(A1248)*100+MONTH(A1248))</f>
        <v/>
      </c>
    </row>
    <row r="1249">
      <c r="A1249" s="18" t="n"/>
      <c r="B1249" s="19" t="n"/>
      <c r="C1249" s="19" t="n"/>
      <c r="D1249" s="19" t="n"/>
      <c r="E1249" s="20" t="n"/>
      <c r="F1249" s="20" t="n"/>
      <c r="G1249" s="19" t="n"/>
      <c r="H1249" s="21">
        <f>IF(A1249="","",YEAR(A1249)*100+MONTH(A1249))</f>
        <v/>
      </c>
    </row>
    <row r="1250">
      <c r="A1250" s="18" t="n"/>
      <c r="B1250" s="19" t="n"/>
      <c r="C1250" s="19" t="n"/>
      <c r="D1250" s="19" t="n"/>
      <c r="E1250" s="20" t="n"/>
      <c r="F1250" s="20" t="n"/>
      <c r="G1250" s="19" t="n"/>
      <c r="H1250" s="21">
        <f>IF(A1250="","",YEAR(A1250)*100+MONTH(A1250))</f>
        <v/>
      </c>
    </row>
    <row r="1251">
      <c r="A1251" s="18" t="n"/>
      <c r="B1251" s="19" t="n"/>
      <c r="C1251" s="19" t="n"/>
      <c r="D1251" s="19" t="n"/>
      <c r="E1251" s="20" t="n"/>
      <c r="F1251" s="20" t="n"/>
      <c r="G1251" s="19" t="n"/>
      <c r="H1251" s="21">
        <f>IF(A1251="","",YEAR(A1251)*100+MONTH(A1251))</f>
        <v/>
      </c>
    </row>
    <row r="1252">
      <c r="A1252" s="18" t="n"/>
      <c r="B1252" s="19" t="n"/>
      <c r="C1252" s="19" t="n"/>
      <c r="D1252" s="19" t="n"/>
      <c r="E1252" s="20" t="n"/>
      <c r="F1252" s="20" t="n"/>
      <c r="G1252" s="19" t="n"/>
      <c r="H1252" s="21">
        <f>IF(A1252="","",YEAR(A1252)*100+MONTH(A1252))</f>
        <v/>
      </c>
    </row>
    <row r="1253">
      <c r="A1253" s="18" t="n"/>
      <c r="B1253" s="19" t="n"/>
      <c r="C1253" s="19" t="n"/>
      <c r="D1253" s="19" t="n"/>
      <c r="E1253" s="20" t="n"/>
      <c r="F1253" s="20" t="n"/>
      <c r="G1253" s="19" t="n"/>
      <c r="H1253" s="21">
        <f>IF(A1253="","",YEAR(A1253)*100+MONTH(A1253))</f>
        <v/>
      </c>
    </row>
    <row r="1254">
      <c r="A1254" s="18" t="n"/>
      <c r="B1254" s="19" t="n"/>
      <c r="C1254" s="19" t="n"/>
      <c r="D1254" s="19" t="n"/>
      <c r="E1254" s="20" t="n"/>
      <c r="F1254" s="20" t="n"/>
      <c r="G1254" s="19" t="n"/>
      <c r="H1254" s="21">
        <f>IF(A1254="","",YEAR(A1254)*100+MONTH(A1254))</f>
        <v/>
      </c>
    </row>
    <row r="1255">
      <c r="A1255" s="18" t="n"/>
      <c r="B1255" s="19" t="n"/>
      <c r="C1255" s="19" t="n"/>
      <c r="D1255" s="19" t="n"/>
      <c r="E1255" s="20" t="n"/>
      <c r="F1255" s="20" t="n"/>
      <c r="G1255" s="19" t="n"/>
      <c r="H1255" s="21">
        <f>IF(A1255="","",YEAR(A1255)*100+MONTH(A1255))</f>
        <v/>
      </c>
    </row>
    <row r="1256">
      <c r="A1256" s="18" t="n"/>
      <c r="B1256" s="19" t="n"/>
      <c r="C1256" s="19" t="n"/>
      <c r="D1256" s="19" t="n"/>
      <c r="E1256" s="20" t="n"/>
      <c r="F1256" s="20" t="n"/>
      <c r="G1256" s="19" t="n"/>
      <c r="H1256" s="21">
        <f>IF(A1256="","",YEAR(A1256)*100+MONTH(A1256))</f>
        <v/>
      </c>
    </row>
    <row r="1257">
      <c r="A1257" s="18" t="n"/>
      <c r="B1257" s="19" t="n"/>
      <c r="C1257" s="19" t="n"/>
      <c r="D1257" s="19" t="n"/>
      <c r="E1257" s="20" t="n"/>
      <c r="F1257" s="20" t="n"/>
      <c r="G1257" s="19" t="n"/>
      <c r="H1257" s="21">
        <f>IF(A1257="","",YEAR(A1257)*100+MONTH(A1257))</f>
        <v/>
      </c>
    </row>
    <row r="1258">
      <c r="A1258" s="18" t="n"/>
      <c r="B1258" s="19" t="n"/>
      <c r="C1258" s="19" t="n"/>
      <c r="D1258" s="19" t="n"/>
      <c r="E1258" s="20" t="n"/>
      <c r="F1258" s="20" t="n"/>
      <c r="G1258" s="19" t="n"/>
      <c r="H1258" s="21">
        <f>IF(A1258="","",YEAR(A1258)*100+MONTH(A1258))</f>
        <v/>
      </c>
    </row>
    <row r="1259">
      <c r="A1259" s="18" t="n"/>
      <c r="B1259" s="19" t="n"/>
      <c r="C1259" s="19" t="n"/>
      <c r="D1259" s="19" t="n"/>
      <c r="E1259" s="20" t="n"/>
      <c r="F1259" s="20" t="n"/>
      <c r="G1259" s="19" t="n"/>
      <c r="H1259" s="21">
        <f>IF(A1259="","",YEAR(A1259)*100+MONTH(A1259))</f>
        <v/>
      </c>
    </row>
    <row r="1260">
      <c r="A1260" s="18" t="n"/>
      <c r="B1260" s="19" t="n"/>
      <c r="C1260" s="19" t="n"/>
      <c r="D1260" s="19" t="n"/>
      <c r="E1260" s="20" t="n"/>
      <c r="F1260" s="20" t="n"/>
      <c r="G1260" s="19" t="n"/>
      <c r="H1260" s="21">
        <f>IF(A1260="","",YEAR(A1260)*100+MONTH(A1260))</f>
        <v/>
      </c>
    </row>
    <row r="1261">
      <c r="A1261" s="18" t="n"/>
      <c r="B1261" s="19" t="n"/>
      <c r="C1261" s="19" t="n"/>
      <c r="D1261" s="19" t="n"/>
      <c r="E1261" s="20" t="n"/>
      <c r="F1261" s="20" t="n"/>
      <c r="G1261" s="19" t="n"/>
      <c r="H1261" s="21">
        <f>IF(A1261="","",YEAR(A1261)*100+MONTH(A1261))</f>
        <v/>
      </c>
    </row>
    <row r="1262">
      <c r="A1262" s="18" t="n"/>
      <c r="B1262" s="19" t="n"/>
      <c r="C1262" s="19" t="n"/>
      <c r="D1262" s="19" t="n"/>
      <c r="E1262" s="20" t="n"/>
      <c r="F1262" s="20" t="n"/>
      <c r="G1262" s="19" t="n"/>
      <c r="H1262" s="21">
        <f>IF(A1262="","",YEAR(A1262)*100+MONTH(A1262))</f>
        <v/>
      </c>
    </row>
    <row r="1263">
      <c r="A1263" s="18" t="n"/>
      <c r="B1263" s="19" t="n"/>
      <c r="C1263" s="19" t="n"/>
      <c r="D1263" s="19" t="n"/>
      <c r="E1263" s="20" t="n"/>
      <c r="F1263" s="20" t="n"/>
      <c r="G1263" s="19" t="n"/>
      <c r="H1263" s="21">
        <f>IF(A1263="","",YEAR(A1263)*100+MONTH(A1263))</f>
        <v/>
      </c>
    </row>
    <row r="1264">
      <c r="A1264" s="18" t="n"/>
      <c r="B1264" s="19" t="n"/>
      <c r="C1264" s="19" t="n"/>
      <c r="D1264" s="19" t="n"/>
      <c r="E1264" s="20" t="n"/>
      <c r="F1264" s="20" t="n"/>
      <c r="G1264" s="19" t="n"/>
      <c r="H1264" s="21">
        <f>IF(A1264="","",YEAR(A1264)*100+MONTH(A1264))</f>
        <v/>
      </c>
    </row>
    <row r="1265">
      <c r="A1265" s="18" t="n"/>
      <c r="B1265" s="19" t="n"/>
      <c r="C1265" s="19" t="n"/>
      <c r="D1265" s="19" t="n"/>
      <c r="E1265" s="20" t="n"/>
      <c r="F1265" s="20" t="n"/>
      <c r="G1265" s="19" t="n"/>
      <c r="H1265" s="21">
        <f>IF(A1265="","",YEAR(A1265)*100+MONTH(A1265))</f>
        <v/>
      </c>
    </row>
    <row r="1266">
      <c r="A1266" s="18" t="n"/>
      <c r="B1266" s="19" t="n"/>
      <c r="C1266" s="19" t="n"/>
      <c r="D1266" s="19" t="n"/>
      <c r="E1266" s="20" t="n"/>
      <c r="F1266" s="20" t="n"/>
      <c r="G1266" s="19" t="n"/>
      <c r="H1266" s="21">
        <f>IF(A1266="","",YEAR(A1266)*100+MONTH(A1266))</f>
        <v/>
      </c>
    </row>
    <row r="1267">
      <c r="A1267" s="18" t="n"/>
      <c r="B1267" s="19" t="n"/>
      <c r="C1267" s="19" t="n"/>
      <c r="D1267" s="19" t="n"/>
      <c r="E1267" s="20" t="n"/>
      <c r="F1267" s="20" t="n"/>
      <c r="G1267" s="19" t="n"/>
      <c r="H1267" s="21">
        <f>IF(A1267="","",YEAR(A1267)*100+MONTH(A1267))</f>
        <v/>
      </c>
    </row>
    <row r="1268">
      <c r="A1268" s="18" t="n"/>
      <c r="B1268" s="19" t="n"/>
      <c r="C1268" s="19" t="n"/>
      <c r="D1268" s="19" t="n"/>
      <c r="E1268" s="20" t="n"/>
      <c r="F1268" s="20" t="n"/>
      <c r="G1268" s="19" t="n"/>
      <c r="H1268" s="21">
        <f>IF(A1268="","",YEAR(A1268)*100+MONTH(A1268))</f>
        <v/>
      </c>
    </row>
    <row r="1269">
      <c r="A1269" s="18" t="n"/>
      <c r="B1269" s="19" t="n"/>
      <c r="C1269" s="19" t="n"/>
      <c r="D1269" s="19" t="n"/>
      <c r="E1269" s="20" t="n"/>
      <c r="F1269" s="20" t="n"/>
      <c r="G1269" s="19" t="n"/>
      <c r="H1269" s="21">
        <f>IF(A1269="","",YEAR(A1269)*100+MONTH(A1269))</f>
        <v/>
      </c>
    </row>
    <row r="1270">
      <c r="A1270" s="18" t="n"/>
      <c r="B1270" s="19" t="n"/>
      <c r="C1270" s="19" t="n"/>
      <c r="D1270" s="19" t="n"/>
      <c r="E1270" s="20" t="n"/>
      <c r="F1270" s="20" t="n"/>
      <c r="G1270" s="19" t="n"/>
      <c r="H1270" s="21">
        <f>IF(A1270="","",YEAR(A1270)*100+MONTH(A1270))</f>
        <v/>
      </c>
    </row>
    <row r="1271">
      <c r="A1271" s="18" t="n"/>
      <c r="B1271" s="19" t="n"/>
      <c r="C1271" s="19" t="n"/>
      <c r="D1271" s="19" t="n"/>
      <c r="E1271" s="20" t="n"/>
      <c r="F1271" s="20" t="n"/>
      <c r="G1271" s="19" t="n"/>
      <c r="H1271" s="21">
        <f>IF(A1271="","",YEAR(A1271)*100+MONTH(A1271))</f>
        <v/>
      </c>
    </row>
    <row r="1272">
      <c r="A1272" s="18" t="n"/>
      <c r="B1272" s="19" t="n"/>
      <c r="C1272" s="19" t="n"/>
      <c r="D1272" s="19" t="n"/>
      <c r="E1272" s="20" t="n"/>
      <c r="F1272" s="20" t="n"/>
      <c r="G1272" s="19" t="n"/>
      <c r="H1272" s="21">
        <f>IF(A1272="","",YEAR(A1272)*100+MONTH(A1272))</f>
        <v/>
      </c>
    </row>
    <row r="1273">
      <c r="A1273" s="18" t="n"/>
      <c r="B1273" s="19" t="n"/>
      <c r="C1273" s="19" t="n"/>
      <c r="D1273" s="19" t="n"/>
      <c r="E1273" s="20" t="n"/>
      <c r="F1273" s="20" t="n"/>
      <c r="G1273" s="19" t="n"/>
      <c r="H1273" s="21">
        <f>IF(A1273="","",YEAR(A1273)*100+MONTH(A1273))</f>
        <v/>
      </c>
    </row>
    <row r="1274">
      <c r="A1274" s="18" t="n"/>
      <c r="B1274" s="19" t="n"/>
      <c r="C1274" s="19" t="n"/>
      <c r="D1274" s="19" t="n"/>
      <c r="E1274" s="20" t="n"/>
      <c r="F1274" s="20" t="n"/>
      <c r="G1274" s="19" t="n"/>
      <c r="H1274" s="21">
        <f>IF(A1274="","",YEAR(A1274)*100+MONTH(A1274))</f>
        <v/>
      </c>
    </row>
    <row r="1275">
      <c r="A1275" s="18" t="n"/>
      <c r="B1275" s="19" t="n"/>
      <c r="C1275" s="19" t="n"/>
      <c r="D1275" s="19" t="n"/>
      <c r="E1275" s="20" t="n"/>
      <c r="F1275" s="20" t="n"/>
      <c r="G1275" s="19" t="n"/>
      <c r="H1275" s="21">
        <f>IF(A1275="","",YEAR(A1275)*100+MONTH(A1275))</f>
        <v/>
      </c>
    </row>
    <row r="1276">
      <c r="A1276" s="18" t="n"/>
      <c r="B1276" s="19" t="n"/>
      <c r="C1276" s="19" t="n"/>
      <c r="D1276" s="19" t="n"/>
      <c r="E1276" s="20" t="n"/>
      <c r="F1276" s="20" t="n"/>
      <c r="G1276" s="19" t="n"/>
      <c r="H1276" s="21">
        <f>IF(A1276="","",YEAR(A1276)*100+MONTH(A1276))</f>
        <v/>
      </c>
    </row>
    <row r="1277">
      <c r="A1277" s="18" t="n"/>
      <c r="B1277" s="19" t="n"/>
      <c r="C1277" s="19" t="n"/>
      <c r="D1277" s="19" t="n"/>
      <c r="E1277" s="20" t="n"/>
      <c r="F1277" s="20" t="n"/>
      <c r="G1277" s="19" t="n"/>
      <c r="H1277" s="21">
        <f>IF(A1277="","",YEAR(A1277)*100+MONTH(A1277))</f>
        <v/>
      </c>
    </row>
    <row r="1278">
      <c r="A1278" s="18" t="n"/>
      <c r="B1278" s="19" t="n"/>
      <c r="C1278" s="19" t="n"/>
      <c r="D1278" s="19" t="n"/>
      <c r="E1278" s="20" t="n"/>
      <c r="F1278" s="20" t="n"/>
      <c r="G1278" s="19" t="n"/>
      <c r="H1278" s="21">
        <f>IF(A1278="","",YEAR(A1278)*100+MONTH(A1278))</f>
        <v/>
      </c>
    </row>
    <row r="1279">
      <c r="A1279" s="18" t="n"/>
      <c r="B1279" s="19" t="n"/>
      <c r="C1279" s="19" t="n"/>
      <c r="D1279" s="19" t="n"/>
      <c r="E1279" s="20" t="n"/>
      <c r="F1279" s="20" t="n"/>
      <c r="G1279" s="19" t="n"/>
      <c r="H1279" s="21">
        <f>IF(A1279="","",YEAR(A1279)*100+MONTH(A1279))</f>
        <v/>
      </c>
    </row>
    <row r="1280">
      <c r="A1280" s="18" t="n"/>
      <c r="B1280" s="19" t="n"/>
      <c r="C1280" s="19" t="n"/>
      <c r="D1280" s="19" t="n"/>
      <c r="E1280" s="20" t="n"/>
      <c r="F1280" s="20" t="n"/>
      <c r="G1280" s="19" t="n"/>
      <c r="H1280" s="21">
        <f>IF(A1280="","",YEAR(A1280)*100+MONTH(A1280))</f>
        <v/>
      </c>
    </row>
    <row r="1281">
      <c r="A1281" s="18" t="n"/>
      <c r="B1281" s="19" t="n"/>
      <c r="C1281" s="19" t="n"/>
      <c r="D1281" s="19" t="n"/>
      <c r="E1281" s="20" t="n"/>
      <c r="F1281" s="20" t="n"/>
      <c r="G1281" s="19" t="n"/>
      <c r="H1281" s="21">
        <f>IF(A1281="","",YEAR(A1281)*100+MONTH(A1281))</f>
        <v/>
      </c>
    </row>
    <row r="1282">
      <c r="A1282" s="18" t="n"/>
      <c r="B1282" s="19" t="n"/>
      <c r="C1282" s="19" t="n"/>
      <c r="D1282" s="19" t="n"/>
      <c r="E1282" s="20" t="n"/>
      <c r="F1282" s="20" t="n"/>
      <c r="G1282" s="19" t="n"/>
      <c r="H1282" s="21">
        <f>IF(A1282="","",YEAR(A1282)*100+MONTH(A1282))</f>
        <v/>
      </c>
    </row>
    <row r="1283">
      <c r="A1283" s="18" t="n"/>
      <c r="B1283" s="19" t="n"/>
      <c r="C1283" s="19" t="n"/>
      <c r="D1283" s="19" t="n"/>
      <c r="E1283" s="20" t="n"/>
      <c r="F1283" s="20" t="n"/>
      <c r="G1283" s="19" t="n"/>
      <c r="H1283" s="21">
        <f>IF(A1283="","",YEAR(A1283)*100+MONTH(A1283))</f>
        <v/>
      </c>
    </row>
    <row r="1284">
      <c r="A1284" s="18" t="n"/>
      <c r="B1284" s="19" t="n"/>
      <c r="C1284" s="19" t="n"/>
      <c r="D1284" s="19" t="n"/>
      <c r="E1284" s="20" t="n"/>
      <c r="F1284" s="20" t="n"/>
      <c r="G1284" s="19" t="n"/>
      <c r="H1284" s="21">
        <f>IF(A1284="","",YEAR(A1284)*100+MONTH(A1284))</f>
        <v/>
      </c>
    </row>
    <row r="1285">
      <c r="A1285" s="18" t="n"/>
      <c r="B1285" s="19" t="n"/>
      <c r="C1285" s="19" t="n"/>
      <c r="D1285" s="19" t="n"/>
      <c r="E1285" s="20" t="n"/>
      <c r="F1285" s="20" t="n"/>
      <c r="G1285" s="19" t="n"/>
      <c r="H1285" s="21">
        <f>IF(A1285="","",YEAR(A1285)*100+MONTH(A1285))</f>
        <v/>
      </c>
    </row>
    <row r="1286">
      <c r="A1286" s="18" t="n"/>
      <c r="B1286" s="19" t="n"/>
      <c r="C1286" s="19" t="n"/>
      <c r="D1286" s="19" t="n"/>
      <c r="E1286" s="20" t="n"/>
      <c r="F1286" s="20" t="n"/>
      <c r="G1286" s="19" t="n"/>
      <c r="H1286" s="21">
        <f>IF(A1286="","",YEAR(A1286)*100+MONTH(A1286))</f>
        <v/>
      </c>
    </row>
    <row r="1287">
      <c r="A1287" s="18" t="n"/>
      <c r="B1287" s="19" t="n"/>
      <c r="C1287" s="19" t="n"/>
      <c r="D1287" s="19" t="n"/>
      <c r="E1287" s="20" t="n"/>
      <c r="F1287" s="20" t="n"/>
      <c r="G1287" s="19" t="n"/>
      <c r="H1287" s="21">
        <f>IF(A1287="","",YEAR(A1287)*100+MONTH(A1287))</f>
        <v/>
      </c>
    </row>
    <row r="1288">
      <c r="A1288" s="18" t="n"/>
      <c r="B1288" s="19" t="n"/>
      <c r="C1288" s="19" t="n"/>
      <c r="D1288" s="19" t="n"/>
      <c r="E1288" s="20" t="n"/>
      <c r="F1288" s="20" t="n"/>
      <c r="G1288" s="19" t="n"/>
      <c r="H1288" s="21">
        <f>IF(A1288="","",YEAR(A1288)*100+MONTH(A1288))</f>
        <v/>
      </c>
    </row>
    <row r="1289">
      <c r="A1289" s="18" t="n"/>
      <c r="B1289" s="19" t="n"/>
      <c r="C1289" s="19" t="n"/>
      <c r="D1289" s="19" t="n"/>
      <c r="E1289" s="20" t="n"/>
      <c r="F1289" s="20" t="n"/>
      <c r="G1289" s="19" t="n"/>
      <c r="H1289" s="21">
        <f>IF(A1289="","",YEAR(A1289)*100+MONTH(A1289))</f>
        <v/>
      </c>
    </row>
    <row r="1290">
      <c r="A1290" s="18" t="n"/>
      <c r="B1290" s="19" t="n"/>
      <c r="C1290" s="19" t="n"/>
      <c r="D1290" s="19" t="n"/>
      <c r="E1290" s="20" t="n"/>
      <c r="F1290" s="20" t="n"/>
      <c r="G1290" s="19" t="n"/>
      <c r="H1290" s="21">
        <f>IF(A1290="","",YEAR(A1290)*100+MONTH(A1290))</f>
        <v/>
      </c>
    </row>
    <row r="1291">
      <c r="A1291" s="18" t="n"/>
      <c r="B1291" s="19" t="n"/>
      <c r="C1291" s="19" t="n"/>
      <c r="D1291" s="19" t="n"/>
      <c r="E1291" s="20" t="n"/>
      <c r="F1291" s="20" t="n"/>
      <c r="G1291" s="19" t="n"/>
      <c r="H1291" s="21">
        <f>IF(A1291="","",YEAR(A1291)*100+MONTH(A1291))</f>
        <v/>
      </c>
    </row>
    <row r="1292">
      <c r="A1292" s="18" t="n"/>
      <c r="B1292" s="19" t="n"/>
      <c r="C1292" s="19" t="n"/>
      <c r="D1292" s="19" t="n"/>
      <c r="E1292" s="20" t="n"/>
      <c r="F1292" s="20" t="n"/>
      <c r="G1292" s="19" t="n"/>
      <c r="H1292" s="21">
        <f>IF(A1292="","",YEAR(A1292)*100+MONTH(A1292))</f>
        <v/>
      </c>
    </row>
    <row r="1293">
      <c r="A1293" s="18" t="n"/>
      <c r="B1293" s="19" t="n"/>
      <c r="C1293" s="19" t="n"/>
      <c r="D1293" s="19" t="n"/>
      <c r="E1293" s="20" t="n"/>
      <c r="F1293" s="20" t="n"/>
      <c r="G1293" s="19" t="n"/>
      <c r="H1293" s="21">
        <f>IF(A1293="","",YEAR(A1293)*100+MONTH(A1293))</f>
        <v/>
      </c>
    </row>
    <row r="1294">
      <c r="A1294" s="18" t="n"/>
      <c r="B1294" s="19" t="n"/>
      <c r="C1294" s="19" t="n"/>
      <c r="D1294" s="19" t="n"/>
      <c r="E1294" s="20" t="n"/>
      <c r="F1294" s="20" t="n"/>
      <c r="G1294" s="19" t="n"/>
      <c r="H1294" s="21">
        <f>IF(A1294="","",YEAR(A1294)*100+MONTH(A1294))</f>
        <v/>
      </c>
    </row>
    <row r="1295">
      <c r="A1295" s="18" t="n"/>
      <c r="B1295" s="19" t="n"/>
      <c r="C1295" s="19" t="n"/>
      <c r="D1295" s="19" t="n"/>
      <c r="E1295" s="20" t="n"/>
      <c r="F1295" s="20" t="n"/>
      <c r="G1295" s="19" t="n"/>
      <c r="H1295" s="21">
        <f>IF(A1295="","",YEAR(A1295)*100+MONTH(A1295))</f>
        <v/>
      </c>
    </row>
    <row r="1296">
      <c r="A1296" s="18" t="n"/>
      <c r="B1296" s="19" t="n"/>
      <c r="C1296" s="19" t="n"/>
      <c r="D1296" s="19" t="n"/>
      <c r="E1296" s="20" t="n"/>
      <c r="F1296" s="20" t="n"/>
      <c r="G1296" s="19" t="n"/>
      <c r="H1296" s="21">
        <f>IF(A1296="","",YEAR(A1296)*100+MONTH(A1296))</f>
        <v/>
      </c>
    </row>
    <row r="1297">
      <c r="A1297" s="18" t="n"/>
      <c r="B1297" s="19" t="n"/>
      <c r="C1297" s="19" t="n"/>
      <c r="D1297" s="19" t="n"/>
      <c r="E1297" s="20" t="n"/>
      <c r="F1297" s="20" t="n"/>
      <c r="G1297" s="19" t="n"/>
      <c r="H1297" s="21">
        <f>IF(A1297="","",YEAR(A1297)*100+MONTH(A1297))</f>
        <v/>
      </c>
    </row>
    <row r="1298">
      <c r="A1298" s="18" t="n"/>
      <c r="B1298" s="19" t="n"/>
      <c r="C1298" s="19" t="n"/>
      <c r="D1298" s="19" t="n"/>
      <c r="E1298" s="20" t="n"/>
      <c r="F1298" s="20" t="n"/>
      <c r="G1298" s="19" t="n"/>
      <c r="H1298" s="21">
        <f>IF(A1298="","",YEAR(A1298)*100+MONTH(A1298))</f>
        <v/>
      </c>
    </row>
    <row r="1299">
      <c r="A1299" s="18" t="n"/>
      <c r="B1299" s="19" t="n"/>
      <c r="C1299" s="19" t="n"/>
      <c r="D1299" s="19" t="n"/>
      <c r="E1299" s="20" t="n"/>
      <c r="F1299" s="20" t="n"/>
      <c r="G1299" s="19" t="n"/>
      <c r="H1299" s="21">
        <f>IF(A1299="","",YEAR(A1299)*100+MONTH(A1299))</f>
        <v/>
      </c>
    </row>
    <row r="1300">
      <c r="A1300" s="18" t="n"/>
      <c r="B1300" s="19" t="n"/>
      <c r="C1300" s="19" t="n"/>
      <c r="D1300" s="19" t="n"/>
      <c r="E1300" s="20" t="n"/>
      <c r="F1300" s="20" t="n"/>
      <c r="G1300" s="19" t="n"/>
      <c r="H1300" s="21">
        <f>IF(A1300="","",YEAR(A1300)*100+MONTH(A1300))</f>
        <v/>
      </c>
    </row>
    <row r="1301">
      <c r="A1301" s="18" t="n"/>
      <c r="B1301" s="19" t="n"/>
      <c r="C1301" s="19" t="n"/>
      <c r="D1301" s="19" t="n"/>
      <c r="E1301" s="20" t="n"/>
      <c r="F1301" s="20" t="n"/>
      <c r="G1301" s="19" t="n"/>
      <c r="H1301" s="21">
        <f>IF(A1301="","",YEAR(A1301)*100+MONTH(A1301))</f>
        <v/>
      </c>
    </row>
    <row r="1302">
      <c r="A1302" s="18" t="n"/>
      <c r="B1302" s="19" t="n"/>
      <c r="C1302" s="19" t="n"/>
      <c r="D1302" s="19" t="n"/>
      <c r="E1302" s="20" t="n"/>
      <c r="F1302" s="20" t="n"/>
      <c r="G1302" s="19" t="n"/>
      <c r="H1302" s="21">
        <f>IF(A1302="","",YEAR(A1302)*100+MONTH(A1302))</f>
        <v/>
      </c>
    </row>
    <row r="1303">
      <c r="A1303" s="18" t="n"/>
      <c r="B1303" s="19" t="n"/>
      <c r="C1303" s="19" t="n"/>
      <c r="D1303" s="19" t="n"/>
      <c r="E1303" s="20" t="n"/>
      <c r="F1303" s="20" t="n"/>
      <c r="G1303" s="19" t="n"/>
      <c r="H1303" s="21">
        <f>IF(A1303="","",YEAR(A1303)*100+MONTH(A1303))</f>
        <v/>
      </c>
    </row>
    <row r="1304">
      <c r="A1304" s="18" t="n"/>
      <c r="B1304" s="19" t="n"/>
      <c r="C1304" s="19" t="n"/>
      <c r="D1304" s="19" t="n"/>
      <c r="E1304" s="20" t="n"/>
      <c r="F1304" s="20" t="n"/>
      <c r="G1304" s="19" t="n"/>
      <c r="H1304" s="21">
        <f>IF(A1304="","",YEAR(A1304)*100+MONTH(A1304))</f>
        <v/>
      </c>
    </row>
    <row r="1305">
      <c r="A1305" s="18" t="n"/>
      <c r="B1305" s="19" t="n"/>
      <c r="C1305" s="19" t="n"/>
      <c r="D1305" s="19" t="n"/>
      <c r="E1305" s="20" t="n"/>
      <c r="F1305" s="20" t="n"/>
      <c r="G1305" s="19" t="n"/>
      <c r="H1305" s="21">
        <f>IF(A1305="","",YEAR(A1305)*100+MONTH(A1305))</f>
        <v/>
      </c>
    </row>
    <row r="1306">
      <c r="A1306" s="18" t="n"/>
      <c r="B1306" s="19" t="n"/>
      <c r="C1306" s="19" t="n"/>
      <c r="D1306" s="19" t="n"/>
      <c r="E1306" s="20" t="n"/>
      <c r="F1306" s="20" t="n"/>
      <c r="G1306" s="19" t="n"/>
      <c r="H1306" s="21">
        <f>IF(A1306="","",YEAR(A1306)*100+MONTH(A1306))</f>
        <v/>
      </c>
    </row>
    <row r="1307">
      <c r="A1307" s="18" t="n"/>
      <c r="B1307" s="19" t="n"/>
      <c r="C1307" s="19" t="n"/>
      <c r="D1307" s="19" t="n"/>
      <c r="E1307" s="20" t="n"/>
      <c r="F1307" s="20" t="n"/>
      <c r="G1307" s="19" t="n"/>
      <c r="H1307" s="21">
        <f>IF(A1307="","",YEAR(A1307)*100+MONTH(A1307))</f>
        <v/>
      </c>
    </row>
    <row r="1308">
      <c r="A1308" s="18" t="n"/>
      <c r="B1308" s="19" t="n"/>
      <c r="C1308" s="19" t="n"/>
      <c r="D1308" s="19" t="n"/>
      <c r="E1308" s="20" t="n"/>
      <c r="F1308" s="20" t="n"/>
      <c r="G1308" s="19" t="n"/>
      <c r="H1308" s="21">
        <f>IF(A1308="","",YEAR(A1308)*100+MONTH(A1308))</f>
        <v/>
      </c>
    </row>
    <row r="1309">
      <c r="A1309" s="18" t="n"/>
      <c r="B1309" s="19" t="n"/>
      <c r="C1309" s="19" t="n"/>
      <c r="D1309" s="19" t="n"/>
      <c r="E1309" s="20" t="n"/>
      <c r="F1309" s="20" t="n"/>
      <c r="G1309" s="19" t="n"/>
      <c r="H1309" s="21">
        <f>IF(A1309="","",YEAR(A1309)*100+MONTH(A1309))</f>
        <v/>
      </c>
    </row>
    <row r="1310">
      <c r="A1310" s="18" t="n"/>
      <c r="B1310" s="19" t="n"/>
      <c r="C1310" s="19" t="n"/>
      <c r="D1310" s="19" t="n"/>
      <c r="E1310" s="20" t="n"/>
      <c r="F1310" s="20" t="n"/>
      <c r="G1310" s="19" t="n"/>
      <c r="H1310" s="21">
        <f>IF(A1310="","",YEAR(A1310)*100+MONTH(A1310))</f>
        <v/>
      </c>
    </row>
    <row r="1311">
      <c r="A1311" s="18" t="n"/>
      <c r="B1311" s="19" t="n"/>
      <c r="C1311" s="19" t="n"/>
      <c r="D1311" s="19" t="n"/>
      <c r="E1311" s="20" t="n"/>
      <c r="F1311" s="20" t="n"/>
      <c r="G1311" s="19" t="n"/>
      <c r="H1311" s="21">
        <f>IF(A1311="","",YEAR(A1311)*100+MONTH(A1311))</f>
        <v/>
      </c>
    </row>
    <row r="1312">
      <c r="A1312" s="18" t="n"/>
      <c r="B1312" s="19" t="n"/>
      <c r="C1312" s="19" t="n"/>
      <c r="D1312" s="19" t="n"/>
      <c r="E1312" s="20" t="n"/>
      <c r="F1312" s="20" t="n"/>
      <c r="G1312" s="19" t="n"/>
      <c r="H1312" s="21">
        <f>IF(A1312="","",YEAR(A1312)*100+MONTH(A1312))</f>
        <v/>
      </c>
    </row>
    <row r="1313">
      <c r="A1313" s="18" t="n"/>
      <c r="B1313" s="19" t="n"/>
      <c r="C1313" s="19" t="n"/>
      <c r="D1313" s="19" t="n"/>
      <c r="E1313" s="20" t="n"/>
      <c r="F1313" s="20" t="n"/>
      <c r="G1313" s="19" t="n"/>
      <c r="H1313" s="21">
        <f>IF(A1313="","",YEAR(A1313)*100+MONTH(A1313))</f>
        <v/>
      </c>
    </row>
    <row r="1314">
      <c r="A1314" s="18" t="n"/>
      <c r="B1314" s="19" t="n"/>
      <c r="C1314" s="19" t="n"/>
      <c r="D1314" s="19" t="n"/>
      <c r="E1314" s="20" t="n"/>
      <c r="F1314" s="20" t="n"/>
      <c r="G1314" s="19" t="n"/>
      <c r="H1314" s="21">
        <f>IF(A1314="","",YEAR(A1314)*100+MONTH(A1314))</f>
        <v/>
      </c>
    </row>
    <row r="1315">
      <c r="A1315" s="18" t="n"/>
      <c r="B1315" s="19" t="n"/>
      <c r="C1315" s="19" t="n"/>
      <c r="D1315" s="19" t="n"/>
      <c r="E1315" s="20" t="n"/>
      <c r="F1315" s="20" t="n"/>
      <c r="G1315" s="19" t="n"/>
      <c r="H1315" s="21">
        <f>IF(A1315="","",YEAR(A1315)*100+MONTH(A1315))</f>
        <v/>
      </c>
    </row>
    <row r="1316">
      <c r="A1316" s="18" t="n"/>
      <c r="B1316" s="19" t="n"/>
      <c r="C1316" s="19" t="n"/>
      <c r="D1316" s="19" t="n"/>
      <c r="E1316" s="20" t="n"/>
      <c r="F1316" s="20" t="n"/>
      <c r="G1316" s="19" t="n"/>
      <c r="H1316" s="21">
        <f>IF(A1316="","",YEAR(A1316)*100+MONTH(A1316))</f>
        <v/>
      </c>
    </row>
    <row r="1317">
      <c r="A1317" s="18" t="n"/>
      <c r="B1317" s="19" t="n"/>
      <c r="C1317" s="19" t="n"/>
      <c r="D1317" s="19" t="n"/>
      <c r="E1317" s="20" t="n"/>
      <c r="F1317" s="20" t="n"/>
      <c r="G1317" s="19" t="n"/>
      <c r="H1317" s="21">
        <f>IF(A1317="","",YEAR(A1317)*100+MONTH(A1317))</f>
        <v/>
      </c>
    </row>
    <row r="1318">
      <c r="A1318" s="18" t="n"/>
      <c r="B1318" s="19" t="n"/>
      <c r="C1318" s="19" t="n"/>
      <c r="D1318" s="19" t="n"/>
      <c r="E1318" s="20" t="n"/>
      <c r="F1318" s="20" t="n"/>
      <c r="G1318" s="19" t="n"/>
      <c r="H1318" s="21">
        <f>IF(A1318="","",YEAR(A1318)*100+MONTH(A1318))</f>
        <v/>
      </c>
    </row>
    <row r="1319">
      <c r="A1319" s="18" t="n"/>
      <c r="B1319" s="19" t="n"/>
      <c r="C1319" s="19" t="n"/>
      <c r="D1319" s="19" t="n"/>
      <c r="E1319" s="20" t="n"/>
      <c r="F1319" s="20" t="n"/>
      <c r="G1319" s="19" t="n"/>
      <c r="H1319" s="21">
        <f>IF(A1319="","",YEAR(A1319)*100+MONTH(A1319))</f>
        <v/>
      </c>
    </row>
    <row r="1320">
      <c r="A1320" s="18" t="n"/>
      <c r="B1320" s="19" t="n"/>
      <c r="C1320" s="19" t="n"/>
      <c r="D1320" s="19" t="n"/>
      <c r="E1320" s="20" t="n"/>
      <c r="F1320" s="20" t="n"/>
      <c r="G1320" s="19" t="n"/>
      <c r="H1320" s="21">
        <f>IF(A1320="","",YEAR(A1320)*100+MONTH(A1320))</f>
        <v/>
      </c>
    </row>
    <row r="1321">
      <c r="A1321" s="18" t="n"/>
      <c r="B1321" s="19" t="n"/>
      <c r="C1321" s="19" t="n"/>
      <c r="D1321" s="19" t="n"/>
      <c r="E1321" s="20" t="n"/>
      <c r="F1321" s="20" t="n"/>
      <c r="G1321" s="19" t="n"/>
      <c r="H1321" s="21">
        <f>IF(A1321="","",YEAR(A1321)*100+MONTH(A1321))</f>
        <v/>
      </c>
    </row>
    <row r="1322">
      <c r="A1322" s="18" t="n"/>
      <c r="B1322" s="19" t="n"/>
      <c r="C1322" s="19" t="n"/>
      <c r="D1322" s="19" t="n"/>
      <c r="E1322" s="20" t="n"/>
      <c r="F1322" s="20" t="n"/>
      <c r="G1322" s="19" t="n"/>
      <c r="H1322" s="21">
        <f>IF(A1322="","",YEAR(A1322)*100+MONTH(A1322))</f>
        <v/>
      </c>
    </row>
    <row r="1323">
      <c r="A1323" s="18" t="n"/>
      <c r="B1323" s="19" t="n"/>
      <c r="C1323" s="19" t="n"/>
      <c r="D1323" s="19" t="n"/>
      <c r="E1323" s="20" t="n"/>
      <c r="F1323" s="20" t="n"/>
      <c r="G1323" s="19" t="n"/>
      <c r="H1323" s="21">
        <f>IF(A1323="","",YEAR(A1323)*100+MONTH(A1323))</f>
        <v/>
      </c>
    </row>
    <row r="1324">
      <c r="A1324" s="18" t="n"/>
      <c r="B1324" s="19" t="n"/>
      <c r="C1324" s="19" t="n"/>
      <c r="D1324" s="19" t="n"/>
      <c r="E1324" s="20" t="n"/>
      <c r="F1324" s="20" t="n"/>
      <c r="G1324" s="19" t="n"/>
      <c r="H1324" s="21">
        <f>IF(A1324="","",YEAR(A1324)*100+MONTH(A1324))</f>
        <v/>
      </c>
    </row>
    <row r="1325">
      <c r="A1325" s="18" t="n"/>
      <c r="B1325" s="19" t="n"/>
      <c r="C1325" s="19" t="n"/>
      <c r="D1325" s="19" t="n"/>
      <c r="E1325" s="20" t="n"/>
      <c r="F1325" s="20" t="n"/>
      <c r="G1325" s="19" t="n"/>
      <c r="H1325" s="21">
        <f>IF(A1325="","",YEAR(A1325)*100+MONTH(A1325))</f>
        <v/>
      </c>
    </row>
    <row r="1326">
      <c r="A1326" s="18" t="n"/>
      <c r="B1326" s="19" t="n"/>
      <c r="C1326" s="19" t="n"/>
      <c r="D1326" s="19" t="n"/>
      <c r="E1326" s="20" t="n"/>
      <c r="F1326" s="20" t="n"/>
      <c r="G1326" s="19" t="n"/>
      <c r="H1326" s="21">
        <f>IF(A1326="","",YEAR(A1326)*100+MONTH(A1326))</f>
        <v/>
      </c>
    </row>
    <row r="1327">
      <c r="A1327" s="18" t="n"/>
      <c r="B1327" s="19" t="n"/>
      <c r="C1327" s="19" t="n"/>
      <c r="D1327" s="19" t="n"/>
      <c r="E1327" s="20" t="n"/>
      <c r="F1327" s="20" t="n"/>
      <c r="G1327" s="19" t="n"/>
      <c r="H1327" s="21">
        <f>IF(A1327="","",YEAR(A1327)*100+MONTH(A1327))</f>
        <v/>
      </c>
    </row>
    <row r="1328">
      <c r="A1328" s="18" t="n"/>
      <c r="B1328" s="19" t="n"/>
      <c r="C1328" s="19" t="n"/>
      <c r="D1328" s="19" t="n"/>
      <c r="E1328" s="20" t="n"/>
      <c r="F1328" s="20" t="n"/>
      <c r="G1328" s="19" t="n"/>
      <c r="H1328" s="21">
        <f>IF(A1328="","",YEAR(A1328)*100+MONTH(A1328))</f>
        <v/>
      </c>
    </row>
    <row r="1329">
      <c r="A1329" s="18" t="n"/>
      <c r="B1329" s="19" t="n"/>
      <c r="C1329" s="19" t="n"/>
      <c r="D1329" s="19" t="n"/>
      <c r="E1329" s="20" t="n"/>
      <c r="F1329" s="20" t="n"/>
      <c r="G1329" s="19" t="n"/>
      <c r="H1329" s="21">
        <f>IF(A1329="","",YEAR(A1329)*100+MONTH(A1329))</f>
        <v/>
      </c>
    </row>
    <row r="1330">
      <c r="A1330" s="18" t="n"/>
      <c r="B1330" s="19" t="n"/>
      <c r="C1330" s="19" t="n"/>
      <c r="D1330" s="19" t="n"/>
      <c r="E1330" s="20" t="n"/>
      <c r="F1330" s="20" t="n"/>
      <c r="G1330" s="19" t="n"/>
      <c r="H1330" s="21">
        <f>IF(A1330="","",YEAR(A1330)*100+MONTH(A1330))</f>
        <v/>
      </c>
    </row>
    <row r="1331">
      <c r="A1331" s="18" t="n"/>
      <c r="B1331" s="19" t="n"/>
      <c r="C1331" s="19" t="n"/>
      <c r="D1331" s="19" t="n"/>
      <c r="E1331" s="20" t="n"/>
      <c r="F1331" s="20" t="n"/>
      <c r="G1331" s="19" t="n"/>
      <c r="H1331" s="21">
        <f>IF(A1331="","",YEAR(A1331)*100+MONTH(A1331))</f>
        <v/>
      </c>
    </row>
    <row r="1332">
      <c r="A1332" s="18" t="n"/>
      <c r="B1332" s="19" t="n"/>
      <c r="C1332" s="19" t="n"/>
      <c r="D1332" s="19" t="n"/>
      <c r="E1332" s="20" t="n"/>
      <c r="F1332" s="20" t="n"/>
      <c r="G1332" s="19" t="n"/>
      <c r="H1332" s="21">
        <f>IF(A1332="","",YEAR(A1332)*100+MONTH(A1332))</f>
        <v/>
      </c>
    </row>
    <row r="1333">
      <c r="A1333" s="18" t="n"/>
      <c r="B1333" s="19" t="n"/>
      <c r="C1333" s="19" t="n"/>
      <c r="D1333" s="19" t="n"/>
      <c r="E1333" s="20" t="n"/>
      <c r="F1333" s="20" t="n"/>
      <c r="G1333" s="19" t="n"/>
      <c r="H1333" s="21">
        <f>IF(A1333="","",YEAR(A1333)*100+MONTH(A1333))</f>
        <v/>
      </c>
    </row>
    <row r="1334">
      <c r="A1334" s="18" t="n"/>
      <c r="B1334" s="19" t="n"/>
      <c r="C1334" s="19" t="n"/>
      <c r="D1334" s="19" t="n"/>
      <c r="E1334" s="20" t="n"/>
      <c r="F1334" s="20" t="n"/>
      <c r="G1334" s="19" t="n"/>
      <c r="H1334" s="21">
        <f>IF(A1334="","",YEAR(A1334)*100+MONTH(A1334))</f>
        <v/>
      </c>
    </row>
    <row r="1335">
      <c r="A1335" s="18" t="n"/>
      <c r="B1335" s="19" t="n"/>
      <c r="C1335" s="19" t="n"/>
      <c r="D1335" s="19" t="n"/>
      <c r="E1335" s="20" t="n"/>
      <c r="F1335" s="20" t="n"/>
      <c r="G1335" s="19" t="n"/>
      <c r="H1335" s="21">
        <f>IF(A1335="","",YEAR(A1335)*100+MONTH(A1335))</f>
        <v/>
      </c>
    </row>
    <row r="1336">
      <c r="A1336" s="18" t="n"/>
      <c r="B1336" s="19" t="n"/>
      <c r="C1336" s="19" t="n"/>
      <c r="D1336" s="19" t="n"/>
      <c r="E1336" s="20" t="n"/>
      <c r="F1336" s="20" t="n"/>
      <c r="G1336" s="19" t="n"/>
      <c r="H1336" s="21">
        <f>IF(A1336="","",YEAR(A1336)*100+MONTH(A1336))</f>
        <v/>
      </c>
    </row>
    <row r="1337">
      <c r="A1337" s="18" t="n"/>
      <c r="B1337" s="19" t="n"/>
      <c r="C1337" s="19" t="n"/>
      <c r="D1337" s="19" t="n"/>
      <c r="E1337" s="20" t="n"/>
      <c r="F1337" s="20" t="n"/>
      <c r="G1337" s="19" t="n"/>
      <c r="H1337" s="21">
        <f>IF(A1337="","",YEAR(A1337)*100+MONTH(A1337))</f>
        <v/>
      </c>
    </row>
    <row r="1338">
      <c r="A1338" s="18" t="n"/>
      <c r="B1338" s="19" t="n"/>
      <c r="C1338" s="19" t="n"/>
      <c r="D1338" s="19" t="n"/>
      <c r="E1338" s="20" t="n"/>
      <c r="F1338" s="20" t="n"/>
      <c r="G1338" s="19" t="n"/>
      <c r="H1338" s="21">
        <f>IF(A1338="","",YEAR(A1338)*100+MONTH(A1338))</f>
        <v/>
      </c>
    </row>
    <row r="1339">
      <c r="A1339" s="18" t="n"/>
      <c r="B1339" s="19" t="n"/>
      <c r="C1339" s="19" t="n"/>
      <c r="D1339" s="19" t="n"/>
      <c r="E1339" s="20" t="n"/>
      <c r="F1339" s="20" t="n"/>
      <c r="G1339" s="19" t="n"/>
      <c r="H1339" s="21">
        <f>IF(A1339="","",YEAR(A1339)*100+MONTH(A1339))</f>
        <v/>
      </c>
    </row>
    <row r="1340">
      <c r="A1340" s="18" t="n"/>
      <c r="B1340" s="19" t="n"/>
      <c r="C1340" s="19" t="n"/>
      <c r="D1340" s="19" t="n"/>
      <c r="E1340" s="20" t="n"/>
      <c r="F1340" s="20" t="n"/>
      <c r="G1340" s="19" t="n"/>
      <c r="H1340" s="21">
        <f>IF(A1340="","",YEAR(A1340)*100+MONTH(A1340))</f>
        <v/>
      </c>
    </row>
    <row r="1341">
      <c r="A1341" s="18" t="n"/>
      <c r="B1341" s="19" t="n"/>
      <c r="C1341" s="19" t="n"/>
      <c r="D1341" s="19" t="n"/>
      <c r="E1341" s="20" t="n"/>
      <c r="F1341" s="20" t="n"/>
      <c r="G1341" s="19" t="n"/>
      <c r="H1341" s="21">
        <f>IF(A1341="","",YEAR(A1341)*100+MONTH(A1341))</f>
        <v/>
      </c>
    </row>
    <row r="1342">
      <c r="A1342" s="18" t="n"/>
      <c r="B1342" s="19" t="n"/>
      <c r="C1342" s="19" t="n"/>
      <c r="D1342" s="19" t="n"/>
      <c r="E1342" s="20" t="n"/>
      <c r="F1342" s="20" t="n"/>
      <c r="G1342" s="19" t="n"/>
      <c r="H1342" s="21">
        <f>IF(A1342="","",YEAR(A1342)*100+MONTH(A1342))</f>
        <v/>
      </c>
    </row>
    <row r="1343">
      <c r="A1343" s="18" t="n"/>
      <c r="B1343" s="19" t="n"/>
      <c r="C1343" s="19" t="n"/>
      <c r="D1343" s="19" t="n"/>
      <c r="E1343" s="20" t="n"/>
      <c r="F1343" s="20" t="n"/>
      <c r="G1343" s="19" t="n"/>
      <c r="H1343" s="21">
        <f>IF(A1343="","",YEAR(A1343)*100+MONTH(A1343))</f>
        <v/>
      </c>
    </row>
    <row r="1344">
      <c r="A1344" s="18" t="n"/>
      <c r="B1344" s="19" t="n"/>
      <c r="C1344" s="19" t="n"/>
      <c r="D1344" s="19" t="n"/>
      <c r="E1344" s="20" t="n"/>
      <c r="F1344" s="20" t="n"/>
      <c r="G1344" s="19" t="n"/>
      <c r="H1344" s="21">
        <f>IF(A1344="","",YEAR(A1344)*100+MONTH(A1344))</f>
        <v/>
      </c>
    </row>
    <row r="1345">
      <c r="A1345" s="18" t="n"/>
      <c r="B1345" s="19" t="n"/>
      <c r="C1345" s="19" t="n"/>
      <c r="D1345" s="19" t="n"/>
      <c r="E1345" s="20" t="n"/>
      <c r="F1345" s="20" t="n"/>
      <c r="G1345" s="19" t="n"/>
      <c r="H1345" s="21">
        <f>IF(A1345="","",YEAR(A1345)*100+MONTH(A1345))</f>
        <v/>
      </c>
    </row>
    <row r="1346">
      <c r="A1346" s="18" t="n"/>
      <c r="B1346" s="19" t="n"/>
      <c r="C1346" s="19" t="n"/>
      <c r="D1346" s="19" t="n"/>
      <c r="E1346" s="20" t="n"/>
      <c r="F1346" s="20" t="n"/>
      <c r="G1346" s="19" t="n"/>
      <c r="H1346" s="21">
        <f>IF(A1346="","",YEAR(A1346)*100+MONTH(A1346))</f>
        <v/>
      </c>
    </row>
    <row r="1347">
      <c r="A1347" s="18" t="n"/>
      <c r="B1347" s="19" t="n"/>
      <c r="C1347" s="19" t="n"/>
      <c r="D1347" s="19" t="n"/>
      <c r="E1347" s="20" t="n"/>
      <c r="F1347" s="20" t="n"/>
      <c r="G1347" s="19" t="n"/>
      <c r="H1347" s="21">
        <f>IF(A1347="","",YEAR(A1347)*100+MONTH(A1347))</f>
        <v/>
      </c>
    </row>
    <row r="1348">
      <c r="A1348" s="18" t="n"/>
      <c r="B1348" s="19" t="n"/>
      <c r="C1348" s="19" t="n"/>
      <c r="D1348" s="19" t="n"/>
      <c r="E1348" s="20" t="n"/>
      <c r="F1348" s="20" t="n"/>
      <c r="G1348" s="19" t="n"/>
      <c r="H1348" s="21">
        <f>IF(A1348="","",YEAR(A1348)*100+MONTH(A1348))</f>
        <v/>
      </c>
    </row>
    <row r="1349">
      <c r="A1349" s="18" t="n"/>
      <c r="B1349" s="19" t="n"/>
      <c r="C1349" s="19" t="n"/>
      <c r="D1349" s="19" t="n"/>
      <c r="E1349" s="20" t="n"/>
      <c r="F1349" s="20" t="n"/>
      <c r="G1349" s="19" t="n"/>
      <c r="H1349" s="21">
        <f>IF(A1349="","",YEAR(A1349)*100+MONTH(A1349))</f>
        <v/>
      </c>
    </row>
    <row r="1350">
      <c r="A1350" s="18" t="n"/>
      <c r="B1350" s="19" t="n"/>
      <c r="C1350" s="19" t="n"/>
      <c r="D1350" s="19" t="n"/>
      <c r="E1350" s="20" t="n"/>
      <c r="F1350" s="20" t="n"/>
      <c r="G1350" s="19" t="n"/>
      <c r="H1350" s="21">
        <f>IF(A1350="","",YEAR(A1350)*100+MONTH(A1350))</f>
        <v/>
      </c>
    </row>
    <row r="1351">
      <c r="A1351" s="18" t="n"/>
      <c r="B1351" s="19" t="n"/>
      <c r="C1351" s="19" t="n"/>
      <c r="D1351" s="19" t="n"/>
      <c r="E1351" s="20" t="n"/>
      <c r="F1351" s="20" t="n"/>
      <c r="G1351" s="19" t="n"/>
      <c r="H1351" s="21">
        <f>IF(A1351="","",YEAR(A1351)*100+MONTH(A1351))</f>
        <v/>
      </c>
    </row>
    <row r="1352">
      <c r="A1352" s="18" t="n"/>
      <c r="B1352" s="19" t="n"/>
      <c r="C1352" s="19" t="n"/>
      <c r="D1352" s="19" t="n"/>
      <c r="E1352" s="20" t="n"/>
      <c r="F1352" s="20" t="n"/>
      <c r="G1352" s="19" t="n"/>
      <c r="H1352" s="21">
        <f>IF(A1352="","",YEAR(A1352)*100+MONTH(A1352))</f>
        <v/>
      </c>
    </row>
    <row r="1353">
      <c r="A1353" s="18" t="n"/>
      <c r="B1353" s="19" t="n"/>
      <c r="C1353" s="19" t="n"/>
      <c r="D1353" s="19" t="n"/>
      <c r="E1353" s="20" t="n"/>
      <c r="F1353" s="20" t="n"/>
      <c r="G1353" s="19" t="n"/>
      <c r="H1353" s="21">
        <f>IF(A1353="","",YEAR(A1353)*100+MONTH(A1353))</f>
        <v/>
      </c>
    </row>
    <row r="1354">
      <c r="A1354" s="18" t="n"/>
      <c r="B1354" s="19" t="n"/>
      <c r="C1354" s="19" t="n"/>
      <c r="D1354" s="19" t="n"/>
      <c r="E1354" s="20" t="n"/>
      <c r="F1354" s="20" t="n"/>
      <c r="G1354" s="19" t="n"/>
      <c r="H1354" s="21">
        <f>IF(A1354="","",YEAR(A1354)*100+MONTH(A1354))</f>
        <v/>
      </c>
    </row>
    <row r="1355">
      <c r="A1355" s="18" t="n"/>
      <c r="B1355" s="19" t="n"/>
      <c r="C1355" s="19" t="n"/>
      <c r="D1355" s="19" t="n"/>
      <c r="E1355" s="20" t="n"/>
      <c r="F1355" s="20" t="n"/>
      <c r="G1355" s="19" t="n"/>
      <c r="H1355" s="21">
        <f>IF(A1355="","",YEAR(A1355)*100+MONTH(A1355))</f>
        <v/>
      </c>
    </row>
    <row r="1356">
      <c r="A1356" s="18" t="n"/>
      <c r="B1356" s="19" t="n"/>
      <c r="C1356" s="19" t="n"/>
      <c r="D1356" s="19" t="n"/>
      <c r="E1356" s="20" t="n"/>
      <c r="F1356" s="20" t="n"/>
      <c r="G1356" s="19" t="n"/>
      <c r="H1356" s="21">
        <f>IF(A1356="","",YEAR(A1356)*100+MONTH(A1356))</f>
        <v/>
      </c>
    </row>
    <row r="1357">
      <c r="A1357" s="18" t="n"/>
      <c r="B1357" s="19" t="n"/>
      <c r="C1357" s="19" t="n"/>
      <c r="D1357" s="19" t="n"/>
      <c r="E1357" s="20" t="n"/>
      <c r="F1357" s="20" t="n"/>
      <c r="G1357" s="19" t="n"/>
      <c r="H1357" s="21">
        <f>IF(A1357="","",YEAR(A1357)*100+MONTH(A1357))</f>
        <v/>
      </c>
    </row>
    <row r="1358">
      <c r="A1358" s="18" t="n"/>
      <c r="B1358" s="19" t="n"/>
      <c r="C1358" s="19" t="n"/>
      <c r="D1358" s="19" t="n"/>
      <c r="E1358" s="20" t="n"/>
      <c r="F1358" s="20" t="n"/>
      <c r="G1358" s="19" t="n"/>
      <c r="H1358" s="21">
        <f>IF(A1358="","",YEAR(A1358)*100+MONTH(A1358))</f>
        <v/>
      </c>
    </row>
    <row r="1359">
      <c r="A1359" s="18" t="n"/>
      <c r="B1359" s="19" t="n"/>
      <c r="C1359" s="19" t="n"/>
      <c r="D1359" s="19" t="n"/>
      <c r="E1359" s="20" t="n"/>
      <c r="F1359" s="20" t="n"/>
      <c r="G1359" s="19" t="n"/>
      <c r="H1359" s="21">
        <f>IF(A1359="","",YEAR(A1359)*100+MONTH(A1359))</f>
        <v/>
      </c>
    </row>
    <row r="1360">
      <c r="A1360" s="18" t="n"/>
      <c r="B1360" s="19" t="n"/>
      <c r="C1360" s="19" t="n"/>
      <c r="D1360" s="19" t="n"/>
      <c r="E1360" s="20" t="n"/>
      <c r="F1360" s="20" t="n"/>
      <c r="G1360" s="19" t="n"/>
      <c r="H1360" s="21">
        <f>IF(A1360="","",YEAR(A1360)*100+MONTH(A1360))</f>
        <v/>
      </c>
    </row>
    <row r="1361">
      <c r="A1361" s="18" t="n"/>
      <c r="B1361" s="19" t="n"/>
      <c r="C1361" s="19" t="n"/>
      <c r="D1361" s="19" t="n"/>
      <c r="E1361" s="20" t="n"/>
      <c r="F1361" s="20" t="n"/>
      <c r="G1361" s="19" t="n"/>
      <c r="H1361" s="21">
        <f>IF(A1361="","",YEAR(A1361)*100+MONTH(A1361))</f>
        <v/>
      </c>
    </row>
    <row r="1362">
      <c r="A1362" s="18" t="n"/>
      <c r="B1362" s="19" t="n"/>
      <c r="C1362" s="19" t="n"/>
      <c r="D1362" s="19" t="n"/>
      <c r="E1362" s="20" t="n"/>
      <c r="F1362" s="20" t="n"/>
      <c r="G1362" s="19" t="n"/>
      <c r="H1362" s="21">
        <f>IF(A1362="","",YEAR(A1362)*100+MONTH(A1362))</f>
        <v/>
      </c>
    </row>
    <row r="1363">
      <c r="A1363" s="18" t="n"/>
      <c r="B1363" s="19" t="n"/>
      <c r="C1363" s="19" t="n"/>
      <c r="D1363" s="19" t="n"/>
      <c r="E1363" s="20" t="n"/>
      <c r="F1363" s="20" t="n"/>
      <c r="G1363" s="19" t="n"/>
      <c r="H1363" s="21">
        <f>IF(A1363="","",YEAR(A1363)*100+MONTH(A1363))</f>
        <v/>
      </c>
    </row>
    <row r="1364">
      <c r="A1364" s="18" t="n"/>
      <c r="B1364" s="19" t="n"/>
      <c r="C1364" s="19" t="n"/>
      <c r="D1364" s="19" t="n"/>
      <c r="E1364" s="20" t="n"/>
      <c r="F1364" s="20" t="n"/>
      <c r="G1364" s="19" t="n"/>
      <c r="H1364" s="21">
        <f>IF(A1364="","",YEAR(A1364)*100+MONTH(A1364))</f>
        <v/>
      </c>
    </row>
    <row r="1365">
      <c r="A1365" s="18" t="n"/>
      <c r="B1365" s="19" t="n"/>
      <c r="C1365" s="19" t="n"/>
      <c r="D1365" s="19" t="n"/>
      <c r="E1365" s="20" t="n"/>
      <c r="F1365" s="20" t="n"/>
      <c r="G1365" s="19" t="n"/>
      <c r="H1365" s="21">
        <f>IF(A1365="","",YEAR(A1365)*100+MONTH(A1365))</f>
        <v/>
      </c>
    </row>
    <row r="1366">
      <c r="A1366" s="18" t="n"/>
      <c r="B1366" s="19" t="n"/>
      <c r="C1366" s="19" t="n"/>
      <c r="D1366" s="19" t="n"/>
      <c r="E1366" s="20" t="n"/>
      <c r="F1366" s="20" t="n"/>
      <c r="G1366" s="19" t="n"/>
      <c r="H1366" s="21">
        <f>IF(A1366="","",YEAR(A1366)*100+MONTH(A1366))</f>
        <v/>
      </c>
    </row>
    <row r="1367">
      <c r="A1367" s="18" t="n"/>
      <c r="B1367" s="19" t="n"/>
      <c r="C1367" s="19" t="n"/>
      <c r="D1367" s="19" t="n"/>
      <c r="E1367" s="20" t="n"/>
      <c r="F1367" s="20" t="n"/>
      <c r="G1367" s="19" t="n"/>
      <c r="H1367" s="21">
        <f>IF(A1367="","",YEAR(A1367)*100+MONTH(A1367))</f>
        <v/>
      </c>
    </row>
    <row r="1368">
      <c r="A1368" s="18" t="n"/>
      <c r="B1368" s="19" t="n"/>
      <c r="C1368" s="19" t="n"/>
      <c r="D1368" s="19" t="n"/>
      <c r="E1368" s="20" t="n"/>
      <c r="F1368" s="20" t="n"/>
      <c r="G1368" s="19" t="n"/>
      <c r="H1368" s="21">
        <f>IF(A1368="","",YEAR(A1368)*100+MONTH(A1368))</f>
        <v/>
      </c>
    </row>
    <row r="1369">
      <c r="A1369" s="18" t="n"/>
      <c r="B1369" s="19" t="n"/>
      <c r="C1369" s="19" t="n"/>
      <c r="D1369" s="19" t="n"/>
      <c r="E1369" s="20" t="n"/>
      <c r="F1369" s="20" t="n"/>
      <c r="G1369" s="19" t="n"/>
      <c r="H1369" s="21">
        <f>IF(A1369="","",YEAR(A1369)*100+MONTH(A1369))</f>
        <v/>
      </c>
    </row>
    <row r="1370">
      <c r="A1370" s="18" t="n"/>
      <c r="B1370" s="19" t="n"/>
      <c r="C1370" s="19" t="n"/>
      <c r="D1370" s="19" t="n"/>
      <c r="E1370" s="20" t="n"/>
      <c r="F1370" s="20" t="n"/>
      <c r="G1370" s="19" t="n"/>
      <c r="H1370" s="21">
        <f>IF(A1370="","",YEAR(A1370)*100+MONTH(A1370))</f>
        <v/>
      </c>
    </row>
    <row r="1371">
      <c r="A1371" s="18" t="n"/>
      <c r="B1371" s="19" t="n"/>
      <c r="C1371" s="19" t="n"/>
      <c r="D1371" s="19" t="n"/>
      <c r="E1371" s="20" t="n"/>
      <c r="F1371" s="20" t="n"/>
      <c r="G1371" s="19" t="n"/>
      <c r="H1371" s="21">
        <f>IF(A1371="","",YEAR(A1371)*100+MONTH(A1371))</f>
        <v/>
      </c>
    </row>
    <row r="1372">
      <c r="A1372" s="18" t="n"/>
      <c r="B1372" s="19" t="n"/>
      <c r="C1372" s="19" t="n"/>
      <c r="D1372" s="19" t="n"/>
      <c r="E1372" s="20" t="n"/>
      <c r="F1372" s="20" t="n"/>
      <c r="G1372" s="19" t="n"/>
      <c r="H1372" s="21">
        <f>IF(A1372="","",YEAR(A1372)*100+MONTH(A1372))</f>
        <v/>
      </c>
    </row>
    <row r="1373">
      <c r="A1373" s="18" t="n"/>
      <c r="B1373" s="19" t="n"/>
      <c r="C1373" s="19" t="n"/>
      <c r="D1373" s="19" t="n"/>
      <c r="E1373" s="20" t="n"/>
      <c r="F1373" s="20" t="n"/>
      <c r="G1373" s="19" t="n"/>
      <c r="H1373" s="21">
        <f>IF(A1373="","",YEAR(A1373)*100+MONTH(A1373))</f>
        <v/>
      </c>
    </row>
    <row r="1374">
      <c r="A1374" s="18" t="n"/>
      <c r="B1374" s="19" t="n"/>
      <c r="C1374" s="19" t="n"/>
      <c r="D1374" s="19" t="n"/>
      <c r="E1374" s="20" t="n"/>
      <c r="F1374" s="20" t="n"/>
      <c r="G1374" s="19" t="n"/>
      <c r="H1374" s="21">
        <f>IF(A1374="","",YEAR(A1374)*100+MONTH(A1374))</f>
        <v/>
      </c>
    </row>
    <row r="1375">
      <c r="A1375" s="18" t="n"/>
      <c r="B1375" s="19" t="n"/>
      <c r="C1375" s="19" t="n"/>
      <c r="D1375" s="19" t="n"/>
      <c r="E1375" s="20" t="n"/>
      <c r="F1375" s="20" t="n"/>
      <c r="G1375" s="19" t="n"/>
      <c r="H1375" s="21">
        <f>IF(A1375="","",YEAR(A1375)*100+MONTH(A1375))</f>
        <v/>
      </c>
    </row>
    <row r="1376">
      <c r="A1376" s="18" t="n"/>
      <c r="B1376" s="19" t="n"/>
      <c r="C1376" s="19" t="n"/>
      <c r="D1376" s="19" t="n"/>
      <c r="E1376" s="20" t="n"/>
      <c r="F1376" s="20" t="n"/>
      <c r="G1376" s="19" t="n"/>
      <c r="H1376" s="21">
        <f>IF(A1376="","",YEAR(A1376)*100+MONTH(A1376))</f>
        <v/>
      </c>
    </row>
    <row r="1377">
      <c r="A1377" s="18" t="n"/>
      <c r="B1377" s="19" t="n"/>
      <c r="C1377" s="19" t="n"/>
      <c r="D1377" s="19" t="n"/>
      <c r="E1377" s="20" t="n"/>
      <c r="F1377" s="20" t="n"/>
      <c r="G1377" s="19" t="n"/>
      <c r="H1377" s="21">
        <f>IF(A1377="","",YEAR(A1377)*100+MONTH(A1377))</f>
        <v/>
      </c>
    </row>
    <row r="1378">
      <c r="A1378" s="18" t="n"/>
      <c r="B1378" s="19" t="n"/>
      <c r="C1378" s="19" t="n"/>
      <c r="D1378" s="19" t="n"/>
      <c r="E1378" s="20" t="n"/>
      <c r="F1378" s="20" t="n"/>
      <c r="G1378" s="19" t="n"/>
      <c r="H1378" s="21">
        <f>IF(A1378="","",YEAR(A1378)*100+MONTH(A1378))</f>
        <v/>
      </c>
    </row>
    <row r="1379">
      <c r="A1379" s="18" t="n"/>
      <c r="B1379" s="19" t="n"/>
      <c r="C1379" s="19" t="n"/>
      <c r="D1379" s="19" t="n"/>
      <c r="E1379" s="20" t="n"/>
      <c r="F1379" s="20" t="n"/>
      <c r="G1379" s="19" t="n"/>
      <c r="H1379" s="21">
        <f>IF(A1379="","",YEAR(A1379)*100+MONTH(A1379))</f>
        <v/>
      </c>
    </row>
    <row r="1380">
      <c r="A1380" s="18" t="n"/>
      <c r="B1380" s="19" t="n"/>
      <c r="C1380" s="19" t="n"/>
      <c r="D1380" s="19" t="n"/>
      <c r="E1380" s="20" t="n"/>
      <c r="F1380" s="20" t="n"/>
      <c r="G1380" s="19" t="n"/>
      <c r="H1380" s="21">
        <f>IF(A1380="","",YEAR(A1380)*100+MONTH(A1380))</f>
        <v/>
      </c>
    </row>
    <row r="1381">
      <c r="A1381" s="18" t="n"/>
      <c r="B1381" s="19" t="n"/>
      <c r="C1381" s="19" t="n"/>
      <c r="D1381" s="19" t="n"/>
      <c r="E1381" s="20" t="n"/>
      <c r="F1381" s="20" t="n"/>
      <c r="G1381" s="19" t="n"/>
      <c r="H1381" s="21">
        <f>IF(A1381="","",YEAR(A1381)*100+MONTH(A1381))</f>
        <v/>
      </c>
    </row>
    <row r="1382">
      <c r="A1382" s="18" t="n"/>
      <c r="B1382" s="19" t="n"/>
      <c r="C1382" s="19" t="n"/>
      <c r="D1382" s="19" t="n"/>
      <c r="E1382" s="20" t="n"/>
      <c r="F1382" s="20" t="n"/>
      <c r="G1382" s="19" t="n"/>
      <c r="H1382" s="21">
        <f>IF(A1382="","",YEAR(A1382)*100+MONTH(A1382))</f>
        <v/>
      </c>
    </row>
    <row r="1383">
      <c r="A1383" s="18" t="n"/>
      <c r="B1383" s="19" t="n"/>
      <c r="C1383" s="19" t="n"/>
      <c r="D1383" s="19" t="n"/>
      <c r="E1383" s="20" t="n"/>
      <c r="F1383" s="20" t="n"/>
      <c r="G1383" s="19" t="n"/>
      <c r="H1383" s="21">
        <f>IF(A1383="","",YEAR(A1383)*100+MONTH(A1383))</f>
        <v/>
      </c>
    </row>
    <row r="1384">
      <c r="A1384" s="18" t="n"/>
      <c r="B1384" s="19" t="n"/>
      <c r="C1384" s="19" t="n"/>
      <c r="D1384" s="19" t="n"/>
      <c r="E1384" s="20" t="n"/>
      <c r="F1384" s="20" t="n"/>
      <c r="G1384" s="19" t="n"/>
      <c r="H1384" s="21">
        <f>IF(A1384="","",YEAR(A1384)*100+MONTH(A1384))</f>
        <v/>
      </c>
    </row>
    <row r="1385">
      <c r="A1385" s="18" t="n"/>
      <c r="B1385" s="19" t="n"/>
      <c r="C1385" s="19" t="n"/>
      <c r="D1385" s="19" t="n"/>
      <c r="E1385" s="20" t="n"/>
      <c r="F1385" s="20" t="n"/>
      <c r="G1385" s="19" t="n"/>
      <c r="H1385" s="21">
        <f>IF(A1385="","",YEAR(A1385)*100+MONTH(A1385))</f>
        <v/>
      </c>
    </row>
    <row r="1386">
      <c r="A1386" s="18" t="n"/>
      <c r="B1386" s="19" t="n"/>
      <c r="C1386" s="19" t="n"/>
      <c r="D1386" s="19" t="n"/>
      <c r="E1386" s="20" t="n"/>
      <c r="F1386" s="20" t="n"/>
      <c r="G1386" s="19" t="n"/>
      <c r="H1386" s="21">
        <f>IF(A1386="","",YEAR(A1386)*100+MONTH(A1386))</f>
        <v/>
      </c>
    </row>
    <row r="1387">
      <c r="A1387" s="18" t="n"/>
      <c r="B1387" s="19" t="n"/>
      <c r="C1387" s="19" t="n"/>
      <c r="D1387" s="19" t="n"/>
      <c r="E1387" s="20" t="n"/>
      <c r="F1387" s="20" t="n"/>
      <c r="G1387" s="19" t="n"/>
      <c r="H1387" s="21">
        <f>IF(A1387="","",YEAR(A1387)*100+MONTH(A1387))</f>
        <v/>
      </c>
    </row>
    <row r="1388">
      <c r="A1388" s="18" t="n"/>
      <c r="B1388" s="19" t="n"/>
      <c r="C1388" s="19" t="n"/>
      <c r="D1388" s="19" t="n"/>
      <c r="E1388" s="20" t="n"/>
      <c r="F1388" s="20" t="n"/>
      <c r="G1388" s="19" t="n"/>
      <c r="H1388" s="21">
        <f>IF(A1388="","",YEAR(A1388)*100+MONTH(A1388))</f>
        <v/>
      </c>
    </row>
    <row r="1389">
      <c r="A1389" s="18" t="n"/>
      <c r="B1389" s="19" t="n"/>
      <c r="C1389" s="19" t="n"/>
      <c r="D1389" s="19" t="n"/>
      <c r="E1389" s="20" t="n"/>
      <c r="F1389" s="20" t="n"/>
      <c r="G1389" s="19" t="n"/>
      <c r="H1389" s="21">
        <f>IF(A1389="","",YEAR(A1389)*100+MONTH(A1389))</f>
        <v/>
      </c>
    </row>
    <row r="1390">
      <c r="A1390" s="18" t="n"/>
      <c r="B1390" s="19" t="n"/>
      <c r="C1390" s="19" t="n"/>
      <c r="D1390" s="19" t="n"/>
      <c r="E1390" s="20" t="n"/>
      <c r="F1390" s="20" t="n"/>
      <c r="G1390" s="19" t="n"/>
      <c r="H1390" s="21">
        <f>IF(A1390="","",YEAR(A1390)*100+MONTH(A1390))</f>
        <v/>
      </c>
    </row>
    <row r="1391">
      <c r="A1391" s="18" t="n"/>
      <c r="B1391" s="19" t="n"/>
      <c r="C1391" s="19" t="n"/>
      <c r="D1391" s="19" t="n"/>
      <c r="E1391" s="20" t="n"/>
      <c r="F1391" s="20" t="n"/>
      <c r="G1391" s="19" t="n"/>
      <c r="H1391" s="21">
        <f>IF(A1391="","",YEAR(A1391)*100+MONTH(A1391))</f>
        <v/>
      </c>
    </row>
    <row r="1392">
      <c r="A1392" s="18" t="n"/>
      <c r="B1392" s="19" t="n"/>
      <c r="C1392" s="19" t="n"/>
      <c r="D1392" s="19" t="n"/>
      <c r="E1392" s="20" t="n"/>
      <c r="F1392" s="20" t="n"/>
      <c r="G1392" s="19" t="n"/>
      <c r="H1392" s="21">
        <f>IF(A1392="","",YEAR(A1392)*100+MONTH(A1392))</f>
        <v/>
      </c>
    </row>
    <row r="1393">
      <c r="A1393" s="18" t="n"/>
      <c r="B1393" s="19" t="n"/>
      <c r="C1393" s="19" t="n"/>
      <c r="D1393" s="19" t="n"/>
      <c r="E1393" s="20" t="n"/>
      <c r="F1393" s="20" t="n"/>
      <c r="G1393" s="19" t="n"/>
      <c r="H1393" s="21">
        <f>IF(A1393="","",YEAR(A1393)*100+MONTH(A1393))</f>
        <v/>
      </c>
    </row>
    <row r="1394">
      <c r="A1394" s="18" t="n"/>
      <c r="B1394" s="19" t="n"/>
      <c r="C1394" s="19" t="n"/>
      <c r="D1394" s="19" t="n"/>
      <c r="E1394" s="20" t="n"/>
      <c r="F1394" s="20" t="n"/>
      <c r="G1394" s="19" t="n"/>
      <c r="H1394" s="21">
        <f>IF(A1394="","",YEAR(A1394)*100+MONTH(A1394))</f>
        <v/>
      </c>
    </row>
    <row r="1395">
      <c r="A1395" s="18" t="n"/>
      <c r="B1395" s="19" t="n"/>
      <c r="C1395" s="19" t="n"/>
      <c r="D1395" s="19" t="n"/>
      <c r="E1395" s="20" t="n"/>
      <c r="F1395" s="20" t="n"/>
      <c r="G1395" s="19" t="n"/>
      <c r="H1395" s="21">
        <f>IF(A1395="","",YEAR(A1395)*100+MONTH(A1395))</f>
        <v/>
      </c>
    </row>
    <row r="1396">
      <c r="A1396" s="18" t="n"/>
      <c r="B1396" s="19" t="n"/>
      <c r="C1396" s="19" t="n"/>
      <c r="D1396" s="19" t="n"/>
      <c r="E1396" s="20" t="n"/>
      <c r="F1396" s="20" t="n"/>
      <c r="G1396" s="19" t="n"/>
      <c r="H1396" s="21">
        <f>IF(A1396="","",YEAR(A1396)*100+MONTH(A1396))</f>
        <v/>
      </c>
    </row>
    <row r="1397">
      <c r="A1397" s="18" t="n"/>
      <c r="B1397" s="19" t="n"/>
      <c r="C1397" s="19" t="n"/>
      <c r="D1397" s="19" t="n"/>
      <c r="E1397" s="20" t="n"/>
      <c r="F1397" s="20" t="n"/>
      <c r="G1397" s="19" t="n"/>
      <c r="H1397" s="21">
        <f>IF(A1397="","",YEAR(A1397)*100+MONTH(A1397))</f>
        <v/>
      </c>
    </row>
    <row r="1398">
      <c r="A1398" s="18" t="n"/>
      <c r="B1398" s="19" t="n"/>
      <c r="C1398" s="19" t="n"/>
      <c r="D1398" s="19" t="n"/>
      <c r="E1398" s="20" t="n"/>
      <c r="F1398" s="20" t="n"/>
      <c r="G1398" s="19" t="n"/>
      <c r="H1398" s="21">
        <f>IF(A1398="","",YEAR(A1398)*100+MONTH(A1398))</f>
        <v/>
      </c>
    </row>
    <row r="1399">
      <c r="A1399" s="18" t="n"/>
      <c r="B1399" s="19" t="n"/>
      <c r="C1399" s="19" t="n"/>
      <c r="D1399" s="19" t="n"/>
      <c r="E1399" s="20" t="n"/>
      <c r="F1399" s="20" t="n"/>
      <c r="G1399" s="19" t="n"/>
      <c r="H1399" s="21">
        <f>IF(A1399="","",YEAR(A1399)*100+MONTH(A1399))</f>
        <v/>
      </c>
    </row>
    <row r="1400">
      <c r="A1400" s="18" t="n"/>
      <c r="B1400" s="19" t="n"/>
      <c r="C1400" s="19" t="n"/>
      <c r="D1400" s="19" t="n"/>
      <c r="E1400" s="20" t="n"/>
      <c r="F1400" s="20" t="n"/>
      <c r="G1400" s="19" t="n"/>
      <c r="H1400" s="21">
        <f>IF(A1400="","",YEAR(A1400)*100+MONTH(A1400))</f>
        <v/>
      </c>
    </row>
    <row r="1401">
      <c r="A1401" s="18" t="n"/>
      <c r="B1401" s="19" t="n"/>
      <c r="C1401" s="19" t="n"/>
      <c r="D1401" s="19" t="n"/>
      <c r="E1401" s="20" t="n"/>
      <c r="F1401" s="20" t="n"/>
      <c r="G1401" s="19" t="n"/>
      <c r="H1401" s="21">
        <f>IF(A1401="","",YEAR(A1401)*100+MONTH(A1401))</f>
        <v/>
      </c>
    </row>
    <row r="1402">
      <c r="A1402" s="18" t="n"/>
      <c r="B1402" s="19" t="n"/>
      <c r="C1402" s="19" t="n"/>
      <c r="D1402" s="19" t="n"/>
      <c r="E1402" s="20" t="n"/>
      <c r="F1402" s="20" t="n"/>
      <c r="G1402" s="19" t="n"/>
      <c r="H1402" s="21">
        <f>IF(A1402="","",YEAR(A1402)*100+MONTH(A1402))</f>
        <v/>
      </c>
    </row>
    <row r="1403">
      <c r="A1403" s="18" t="n"/>
      <c r="B1403" s="19" t="n"/>
      <c r="C1403" s="19" t="n"/>
      <c r="D1403" s="19" t="n"/>
      <c r="E1403" s="20" t="n"/>
      <c r="F1403" s="20" t="n"/>
      <c r="G1403" s="19" t="n"/>
      <c r="H1403" s="21">
        <f>IF(A1403="","",YEAR(A1403)*100+MONTH(A1403))</f>
        <v/>
      </c>
    </row>
    <row r="1404">
      <c r="A1404" s="18" t="n"/>
      <c r="B1404" s="19" t="n"/>
      <c r="C1404" s="19" t="n"/>
      <c r="D1404" s="19" t="n"/>
      <c r="E1404" s="20" t="n"/>
      <c r="F1404" s="20" t="n"/>
      <c r="G1404" s="19" t="n"/>
      <c r="H1404" s="21">
        <f>IF(A1404="","",YEAR(A1404)*100+MONTH(A1404))</f>
        <v/>
      </c>
    </row>
    <row r="1405">
      <c r="A1405" s="18" t="n"/>
      <c r="B1405" s="19" t="n"/>
      <c r="C1405" s="19" t="n"/>
      <c r="D1405" s="19" t="n"/>
      <c r="E1405" s="20" t="n"/>
      <c r="F1405" s="20" t="n"/>
      <c r="G1405" s="19" t="n"/>
      <c r="H1405" s="21">
        <f>IF(A1405="","",YEAR(A1405)*100+MONTH(A1405))</f>
        <v/>
      </c>
    </row>
    <row r="1406">
      <c r="A1406" s="18" t="n"/>
      <c r="B1406" s="19" t="n"/>
      <c r="C1406" s="19" t="n"/>
      <c r="D1406" s="19" t="n"/>
      <c r="E1406" s="20" t="n"/>
      <c r="F1406" s="20" t="n"/>
      <c r="G1406" s="19" t="n"/>
      <c r="H1406" s="21">
        <f>IF(A1406="","",YEAR(A1406)*100+MONTH(A1406))</f>
        <v/>
      </c>
    </row>
    <row r="1407">
      <c r="A1407" s="18" t="n"/>
      <c r="B1407" s="19" t="n"/>
      <c r="C1407" s="19" t="n"/>
      <c r="D1407" s="19" t="n"/>
      <c r="E1407" s="20" t="n"/>
      <c r="F1407" s="20" t="n"/>
      <c r="G1407" s="19" t="n"/>
      <c r="H1407" s="21">
        <f>IF(A1407="","",YEAR(A1407)*100+MONTH(A1407))</f>
        <v/>
      </c>
    </row>
    <row r="1408">
      <c r="A1408" s="18" t="n"/>
      <c r="B1408" s="19" t="n"/>
      <c r="C1408" s="19" t="n"/>
      <c r="D1408" s="19" t="n"/>
      <c r="E1408" s="20" t="n"/>
      <c r="F1408" s="20" t="n"/>
      <c r="G1408" s="19" t="n"/>
      <c r="H1408" s="21">
        <f>IF(A1408="","",YEAR(A1408)*100+MONTH(A1408))</f>
        <v/>
      </c>
    </row>
    <row r="1409">
      <c r="A1409" s="18" t="n"/>
      <c r="B1409" s="19" t="n"/>
      <c r="C1409" s="19" t="n"/>
      <c r="D1409" s="19" t="n"/>
      <c r="E1409" s="20" t="n"/>
      <c r="F1409" s="20" t="n"/>
      <c r="G1409" s="19" t="n"/>
      <c r="H1409" s="21">
        <f>IF(A1409="","",YEAR(A1409)*100+MONTH(A1409))</f>
        <v/>
      </c>
    </row>
    <row r="1410">
      <c r="A1410" s="18" t="n"/>
      <c r="B1410" s="19" t="n"/>
      <c r="C1410" s="19" t="n"/>
      <c r="D1410" s="19" t="n"/>
      <c r="E1410" s="20" t="n"/>
      <c r="F1410" s="20" t="n"/>
      <c r="G1410" s="19" t="n"/>
      <c r="H1410" s="21">
        <f>IF(A1410="","",YEAR(A1410)*100+MONTH(A1410))</f>
        <v/>
      </c>
    </row>
    <row r="1411">
      <c r="A1411" s="18" t="n"/>
      <c r="B1411" s="19" t="n"/>
      <c r="C1411" s="19" t="n"/>
      <c r="D1411" s="19" t="n"/>
      <c r="E1411" s="20" t="n"/>
      <c r="F1411" s="20" t="n"/>
      <c r="G1411" s="19" t="n"/>
      <c r="H1411" s="21">
        <f>IF(A1411="","",YEAR(A1411)*100+MONTH(A1411))</f>
        <v/>
      </c>
    </row>
    <row r="1412">
      <c r="A1412" s="18" t="n"/>
      <c r="B1412" s="19" t="n"/>
      <c r="C1412" s="19" t="n"/>
      <c r="D1412" s="19" t="n"/>
      <c r="E1412" s="20" t="n"/>
      <c r="F1412" s="20" t="n"/>
      <c r="G1412" s="19" t="n"/>
      <c r="H1412" s="21">
        <f>IF(A1412="","",YEAR(A1412)*100+MONTH(A1412))</f>
        <v/>
      </c>
    </row>
    <row r="1413">
      <c r="A1413" s="18" t="n"/>
      <c r="B1413" s="19" t="n"/>
      <c r="C1413" s="19" t="n"/>
      <c r="D1413" s="19" t="n"/>
      <c r="E1413" s="20" t="n"/>
      <c r="F1413" s="20" t="n"/>
      <c r="G1413" s="19" t="n"/>
      <c r="H1413" s="21">
        <f>IF(A1413="","",YEAR(A1413)*100+MONTH(A1413))</f>
        <v/>
      </c>
    </row>
    <row r="1414">
      <c r="A1414" s="18" t="n"/>
      <c r="B1414" s="19" t="n"/>
      <c r="C1414" s="19" t="n"/>
      <c r="D1414" s="19" t="n"/>
      <c r="E1414" s="20" t="n"/>
      <c r="F1414" s="20" t="n"/>
      <c r="G1414" s="19" t="n"/>
      <c r="H1414" s="21">
        <f>IF(A1414="","",YEAR(A1414)*100+MONTH(A1414))</f>
        <v/>
      </c>
    </row>
    <row r="1415">
      <c r="A1415" s="18" t="n"/>
      <c r="B1415" s="19" t="n"/>
      <c r="C1415" s="19" t="n"/>
      <c r="D1415" s="19" t="n"/>
      <c r="E1415" s="20" t="n"/>
      <c r="F1415" s="20" t="n"/>
      <c r="G1415" s="19" t="n"/>
      <c r="H1415" s="21">
        <f>IF(A1415="","",YEAR(A1415)*100+MONTH(A1415))</f>
        <v/>
      </c>
    </row>
    <row r="1416">
      <c r="A1416" s="18" t="n"/>
      <c r="B1416" s="19" t="n"/>
      <c r="C1416" s="19" t="n"/>
      <c r="D1416" s="19" t="n"/>
      <c r="E1416" s="20" t="n"/>
      <c r="F1416" s="20" t="n"/>
      <c r="G1416" s="19" t="n"/>
      <c r="H1416" s="21">
        <f>IF(A1416="","",YEAR(A1416)*100+MONTH(A1416))</f>
        <v/>
      </c>
    </row>
    <row r="1417">
      <c r="A1417" s="18" t="n"/>
      <c r="B1417" s="19" t="n"/>
      <c r="C1417" s="19" t="n"/>
      <c r="D1417" s="19" t="n"/>
      <c r="E1417" s="20" t="n"/>
      <c r="F1417" s="20" t="n"/>
      <c r="G1417" s="19" t="n"/>
      <c r="H1417" s="21">
        <f>IF(A1417="","",YEAR(A1417)*100+MONTH(A1417))</f>
        <v/>
      </c>
    </row>
    <row r="1418">
      <c r="A1418" s="18" t="n"/>
      <c r="B1418" s="19" t="n"/>
      <c r="C1418" s="19" t="n"/>
      <c r="D1418" s="19" t="n"/>
      <c r="E1418" s="20" t="n"/>
      <c r="F1418" s="20" t="n"/>
      <c r="G1418" s="19" t="n"/>
      <c r="H1418" s="21">
        <f>IF(A1418="","",YEAR(A1418)*100+MONTH(A1418))</f>
        <v/>
      </c>
    </row>
    <row r="1419">
      <c r="A1419" s="18" t="n"/>
      <c r="B1419" s="19" t="n"/>
      <c r="C1419" s="19" t="n"/>
      <c r="D1419" s="19" t="n"/>
      <c r="E1419" s="20" t="n"/>
      <c r="F1419" s="20" t="n"/>
      <c r="G1419" s="19" t="n"/>
      <c r="H1419" s="21">
        <f>IF(A1419="","",YEAR(A1419)*100+MONTH(A1419))</f>
        <v/>
      </c>
    </row>
    <row r="1420">
      <c r="A1420" s="18" t="n"/>
      <c r="B1420" s="19" t="n"/>
      <c r="C1420" s="19" t="n"/>
      <c r="D1420" s="19" t="n"/>
      <c r="E1420" s="20" t="n"/>
      <c r="F1420" s="20" t="n"/>
      <c r="G1420" s="19" t="n"/>
      <c r="H1420" s="21">
        <f>IF(A1420="","",YEAR(A1420)*100+MONTH(A1420))</f>
        <v/>
      </c>
    </row>
    <row r="1421">
      <c r="A1421" s="18" t="n"/>
      <c r="B1421" s="19" t="n"/>
      <c r="C1421" s="19" t="n"/>
      <c r="D1421" s="19" t="n"/>
      <c r="E1421" s="20" t="n"/>
      <c r="F1421" s="20" t="n"/>
      <c r="G1421" s="19" t="n"/>
      <c r="H1421" s="21">
        <f>IF(A1421="","",YEAR(A1421)*100+MONTH(A1421))</f>
        <v/>
      </c>
    </row>
    <row r="1422">
      <c r="A1422" s="18" t="n"/>
      <c r="B1422" s="19" t="n"/>
      <c r="C1422" s="19" t="n"/>
      <c r="D1422" s="19" t="n"/>
      <c r="E1422" s="20" t="n"/>
      <c r="F1422" s="20" t="n"/>
      <c r="G1422" s="19" t="n"/>
      <c r="H1422" s="21">
        <f>IF(A1422="","",YEAR(A1422)*100+MONTH(A1422))</f>
        <v/>
      </c>
    </row>
    <row r="1423">
      <c r="A1423" s="18" t="n"/>
      <c r="B1423" s="19" t="n"/>
      <c r="C1423" s="19" t="n"/>
      <c r="D1423" s="19" t="n"/>
      <c r="E1423" s="20" t="n"/>
      <c r="F1423" s="20" t="n"/>
      <c r="G1423" s="19" t="n"/>
      <c r="H1423" s="21">
        <f>IF(A1423="","",YEAR(A1423)*100+MONTH(A1423))</f>
        <v/>
      </c>
    </row>
    <row r="1424">
      <c r="A1424" s="18" t="n"/>
      <c r="B1424" s="19" t="n"/>
      <c r="C1424" s="19" t="n"/>
      <c r="D1424" s="19" t="n"/>
      <c r="E1424" s="20" t="n"/>
      <c r="F1424" s="20" t="n"/>
      <c r="G1424" s="19" t="n"/>
      <c r="H1424" s="21">
        <f>IF(A1424="","",YEAR(A1424)*100+MONTH(A1424))</f>
        <v/>
      </c>
    </row>
    <row r="1425">
      <c r="A1425" s="18" t="n"/>
      <c r="B1425" s="19" t="n"/>
      <c r="C1425" s="19" t="n"/>
      <c r="D1425" s="19" t="n"/>
      <c r="E1425" s="20" t="n"/>
      <c r="F1425" s="20" t="n"/>
      <c r="G1425" s="19" t="n"/>
      <c r="H1425" s="21">
        <f>IF(A1425="","",YEAR(A1425)*100+MONTH(A1425))</f>
        <v/>
      </c>
    </row>
    <row r="1426">
      <c r="A1426" s="18" t="n"/>
      <c r="B1426" s="19" t="n"/>
      <c r="C1426" s="19" t="n"/>
      <c r="D1426" s="19" t="n"/>
      <c r="E1426" s="20" t="n"/>
      <c r="F1426" s="20" t="n"/>
      <c r="G1426" s="19" t="n"/>
      <c r="H1426" s="21">
        <f>IF(A1426="","",YEAR(A1426)*100+MONTH(A1426))</f>
        <v/>
      </c>
    </row>
    <row r="1427">
      <c r="A1427" s="18" t="n"/>
      <c r="B1427" s="19" t="n"/>
      <c r="C1427" s="19" t="n"/>
      <c r="D1427" s="19" t="n"/>
      <c r="E1427" s="20" t="n"/>
      <c r="F1427" s="20" t="n"/>
      <c r="G1427" s="19" t="n"/>
      <c r="H1427" s="21">
        <f>IF(A1427="","",YEAR(A1427)*100+MONTH(A1427))</f>
        <v/>
      </c>
    </row>
    <row r="1428">
      <c r="A1428" s="18" t="n"/>
      <c r="B1428" s="19" t="n"/>
      <c r="C1428" s="19" t="n"/>
      <c r="D1428" s="19" t="n"/>
      <c r="E1428" s="20" t="n"/>
      <c r="F1428" s="20" t="n"/>
      <c r="G1428" s="19" t="n"/>
      <c r="H1428" s="21">
        <f>IF(A1428="","",YEAR(A1428)*100+MONTH(A1428))</f>
        <v/>
      </c>
    </row>
    <row r="1429">
      <c r="A1429" s="18" t="n"/>
      <c r="B1429" s="19" t="n"/>
      <c r="C1429" s="19" t="n"/>
      <c r="D1429" s="19" t="n"/>
      <c r="E1429" s="20" t="n"/>
      <c r="F1429" s="20" t="n"/>
      <c r="G1429" s="19" t="n"/>
      <c r="H1429" s="21">
        <f>IF(A1429="","",YEAR(A1429)*100+MONTH(A1429))</f>
        <v/>
      </c>
    </row>
    <row r="1430">
      <c r="A1430" s="18" t="n"/>
      <c r="B1430" s="19" t="n"/>
      <c r="C1430" s="19" t="n"/>
      <c r="D1430" s="19" t="n"/>
      <c r="E1430" s="20" t="n"/>
      <c r="F1430" s="20" t="n"/>
      <c r="G1430" s="19" t="n"/>
      <c r="H1430" s="21">
        <f>IF(A1430="","",YEAR(A1430)*100+MONTH(A1430))</f>
        <v/>
      </c>
    </row>
    <row r="1431">
      <c r="A1431" s="18" t="n"/>
      <c r="B1431" s="19" t="n"/>
      <c r="C1431" s="19" t="n"/>
      <c r="D1431" s="19" t="n"/>
      <c r="E1431" s="20" t="n"/>
      <c r="F1431" s="20" t="n"/>
      <c r="G1431" s="19" t="n"/>
      <c r="H1431" s="21">
        <f>IF(A1431="","",YEAR(A1431)*100+MONTH(A1431))</f>
        <v/>
      </c>
    </row>
    <row r="1432">
      <c r="A1432" s="18" t="n"/>
      <c r="B1432" s="19" t="n"/>
      <c r="C1432" s="19" t="n"/>
      <c r="D1432" s="19" t="n"/>
      <c r="E1432" s="20" t="n"/>
      <c r="F1432" s="20" t="n"/>
      <c r="G1432" s="19" t="n"/>
      <c r="H1432" s="21">
        <f>IF(A1432="","",YEAR(A1432)*100+MONTH(A1432))</f>
        <v/>
      </c>
    </row>
    <row r="1433">
      <c r="A1433" s="18" t="n"/>
      <c r="B1433" s="19" t="n"/>
      <c r="C1433" s="19" t="n"/>
      <c r="D1433" s="19" t="n"/>
      <c r="E1433" s="20" t="n"/>
      <c r="F1433" s="20" t="n"/>
      <c r="G1433" s="19" t="n"/>
      <c r="H1433" s="21">
        <f>IF(A1433="","",YEAR(A1433)*100+MONTH(A1433))</f>
        <v/>
      </c>
    </row>
    <row r="1434">
      <c r="A1434" s="18" t="n"/>
      <c r="B1434" s="19" t="n"/>
      <c r="C1434" s="19" t="n"/>
      <c r="D1434" s="19" t="n"/>
      <c r="E1434" s="20" t="n"/>
      <c r="F1434" s="20" t="n"/>
      <c r="G1434" s="19" t="n"/>
      <c r="H1434" s="21">
        <f>IF(A1434="","",YEAR(A1434)*100+MONTH(A1434))</f>
        <v/>
      </c>
    </row>
    <row r="1435">
      <c r="A1435" s="18" t="n"/>
      <c r="B1435" s="19" t="n"/>
      <c r="C1435" s="19" t="n"/>
      <c r="D1435" s="19" t="n"/>
      <c r="E1435" s="20" t="n"/>
      <c r="F1435" s="20" t="n"/>
      <c r="G1435" s="19" t="n"/>
      <c r="H1435" s="21">
        <f>IF(A1435="","",YEAR(A1435)*100+MONTH(A1435))</f>
        <v/>
      </c>
    </row>
    <row r="1436">
      <c r="A1436" s="18" t="n"/>
      <c r="B1436" s="19" t="n"/>
      <c r="C1436" s="19" t="n"/>
      <c r="D1436" s="19" t="n"/>
      <c r="E1436" s="20" t="n"/>
      <c r="F1436" s="20" t="n"/>
      <c r="G1436" s="19" t="n"/>
      <c r="H1436" s="21">
        <f>IF(A1436="","",YEAR(A1436)*100+MONTH(A1436))</f>
        <v/>
      </c>
    </row>
    <row r="1437">
      <c r="A1437" s="18" t="n"/>
      <c r="B1437" s="19" t="n"/>
      <c r="C1437" s="19" t="n"/>
      <c r="D1437" s="19" t="n"/>
      <c r="E1437" s="20" t="n"/>
      <c r="F1437" s="20" t="n"/>
      <c r="G1437" s="19" t="n"/>
      <c r="H1437" s="21">
        <f>IF(A1437="","",YEAR(A1437)*100+MONTH(A1437))</f>
        <v/>
      </c>
    </row>
    <row r="1438">
      <c r="A1438" s="18" t="n"/>
      <c r="B1438" s="19" t="n"/>
      <c r="C1438" s="19" t="n"/>
      <c r="D1438" s="19" t="n"/>
      <c r="E1438" s="20" t="n"/>
      <c r="F1438" s="20" t="n"/>
      <c r="G1438" s="19" t="n"/>
      <c r="H1438" s="21">
        <f>IF(A1438="","",YEAR(A1438)*100+MONTH(A1438))</f>
        <v/>
      </c>
    </row>
    <row r="1439">
      <c r="A1439" s="18" t="n"/>
      <c r="B1439" s="19" t="n"/>
      <c r="C1439" s="19" t="n"/>
      <c r="D1439" s="19" t="n"/>
      <c r="E1439" s="20" t="n"/>
      <c r="F1439" s="20" t="n"/>
      <c r="G1439" s="19" t="n"/>
      <c r="H1439" s="21">
        <f>IF(A1439="","",YEAR(A1439)*100+MONTH(A1439))</f>
        <v/>
      </c>
    </row>
    <row r="1440">
      <c r="A1440" s="18" t="n"/>
      <c r="B1440" s="19" t="n"/>
      <c r="C1440" s="19" t="n"/>
      <c r="D1440" s="19" t="n"/>
      <c r="E1440" s="20" t="n"/>
      <c r="F1440" s="20" t="n"/>
      <c r="G1440" s="19" t="n"/>
      <c r="H1440" s="21">
        <f>IF(A1440="","",YEAR(A1440)*100+MONTH(A1440))</f>
        <v/>
      </c>
    </row>
    <row r="1441">
      <c r="A1441" s="18" t="n"/>
      <c r="B1441" s="19" t="n"/>
      <c r="C1441" s="19" t="n"/>
      <c r="D1441" s="19" t="n"/>
      <c r="E1441" s="20" t="n"/>
      <c r="F1441" s="20" t="n"/>
      <c r="G1441" s="19" t="n"/>
      <c r="H1441" s="21">
        <f>IF(A1441="","",YEAR(A1441)*100+MONTH(A1441))</f>
        <v/>
      </c>
    </row>
    <row r="1442">
      <c r="A1442" s="18" t="n"/>
      <c r="B1442" s="19" t="n"/>
      <c r="C1442" s="19" t="n"/>
      <c r="D1442" s="19" t="n"/>
      <c r="E1442" s="20" t="n"/>
      <c r="F1442" s="20" t="n"/>
      <c r="G1442" s="19" t="n"/>
      <c r="H1442" s="21">
        <f>IF(A1442="","",YEAR(A1442)*100+MONTH(A1442))</f>
        <v/>
      </c>
    </row>
    <row r="1443">
      <c r="A1443" s="18" t="n"/>
      <c r="B1443" s="19" t="n"/>
      <c r="C1443" s="19" t="n"/>
      <c r="D1443" s="19" t="n"/>
      <c r="E1443" s="20" t="n"/>
      <c r="F1443" s="20" t="n"/>
      <c r="G1443" s="19" t="n"/>
      <c r="H1443" s="21">
        <f>IF(A1443="","",YEAR(A1443)*100+MONTH(A1443))</f>
        <v/>
      </c>
    </row>
    <row r="1444">
      <c r="A1444" s="18" t="n"/>
      <c r="B1444" s="19" t="n"/>
      <c r="C1444" s="19" t="n"/>
      <c r="D1444" s="19" t="n"/>
      <c r="E1444" s="20" t="n"/>
      <c r="F1444" s="20" t="n"/>
      <c r="G1444" s="19" t="n"/>
      <c r="H1444" s="21">
        <f>IF(A1444="","",YEAR(A1444)*100+MONTH(A1444))</f>
        <v/>
      </c>
    </row>
    <row r="1445">
      <c r="A1445" s="18" t="n"/>
      <c r="B1445" s="19" t="n"/>
      <c r="C1445" s="19" t="n"/>
      <c r="D1445" s="19" t="n"/>
      <c r="E1445" s="20" t="n"/>
      <c r="F1445" s="20" t="n"/>
      <c r="G1445" s="19" t="n"/>
      <c r="H1445" s="21">
        <f>IF(A1445="","",YEAR(A1445)*100+MONTH(A1445))</f>
        <v/>
      </c>
    </row>
    <row r="1446">
      <c r="A1446" s="18" t="n"/>
      <c r="B1446" s="19" t="n"/>
      <c r="C1446" s="19" t="n"/>
      <c r="D1446" s="19" t="n"/>
      <c r="E1446" s="20" t="n"/>
      <c r="F1446" s="20" t="n"/>
      <c r="G1446" s="19" t="n"/>
      <c r="H1446" s="21">
        <f>IF(A1446="","",YEAR(A1446)*100+MONTH(A1446))</f>
        <v/>
      </c>
    </row>
    <row r="1447">
      <c r="A1447" s="18" t="n"/>
      <c r="B1447" s="19" t="n"/>
      <c r="C1447" s="19" t="n"/>
      <c r="D1447" s="19" t="n"/>
      <c r="E1447" s="20" t="n"/>
      <c r="F1447" s="20" t="n"/>
      <c r="G1447" s="19" t="n"/>
      <c r="H1447" s="21">
        <f>IF(A1447="","",YEAR(A1447)*100+MONTH(A1447))</f>
        <v/>
      </c>
    </row>
    <row r="1448">
      <c r="A1448" s="18" t="n"/>
      <c r="B1448" s="19" t="n"/>
      <c r="C1448" s="19" t="n"/>
      <c r="D1448" s="19" t="n"/>
      <c r="E1448" s="20" t="n"/>
      <c r="F1448" s="20" t="n"/>
      <c r="G1448" s="19" t="n"/>
      <c r="H1448" s="21">
        <f>IF(A1448="","",YEAR(A1448)*100+MONTH(A1448))</f>
        <v/>
      </c>
    </row>
    <row r="1449">
      <c r="A1449" s="18" t="n"/>
      <c r="B1449" s="19" t="n"/>
      <c r="C1449" s="19" t="n"/>
      <c r="D1449" s="19" t="n"/>
      <c r="E1449" s="20" t="n"/>
      <c r="F1449" s="20" t="n"/>
      <c r="G1449" s="19" t="n"/>
      <c r="H1449" s="21">
        <f>IF(A1449="","",YEAR(A1449)*100+MONTH(A1449))</f>
        <v/>
      </c>
    </row>
    <row r="1450">
      <c r="A1450" s="18" t="n"/>
      <c r="B1450" s="19" t="n"/>
      <c r="C1450" s="19" t="n"/>
      <c r="D1450" s="19" t="n"/>
      <c r="E1450" s="20" t="n"/>
      <c r="F1450" s="20" t="n"/>
      <c r="G1450" s="19" t="n"/>
      <c r="H1450" s="21">
        <f>IF(A1450="","",YEAR(A1450)*100+MONTH(A1450))</f>
        <v/>
      </c>
    </row>
    <row r="1451">
      <c r="A1451" s="18" t="n"/>
      <c r="B1451" s="19" t="n"/>
      <c r="C1451" s="19" t="n"/>
      <c r="D1451" s="19" t="n"/>
      <c r="E1451" s="20" t="n"/>
      <c r="F1451" s="20" t="n"/>
      <c r="G1451" s="19" t="n"/>
      <c r="H1451" s="21">
        <f>IF(A1451="","",YEAR(A1451)*100+MONTH(A1451))</f>
        <v/>
      </c>
    </row>
    <row r="1452">
      <c r="A1452" s="18" t="n"/>
      <c r="B1452" s="19" t="n"/>
      <c r="C1452" s="19" t="n"/>
      <c r="D1452" s="19" t="n"/>
      <c r="E1452" s="20" t="n"/>
      <c r="F1452" s="20" t="n"/>
      <c r="G1452" s="19" t="n"/>
      <c r="H1452" s="21">
        <f>IF(A1452="","",YEAR(A1452)*100+MONTH(A1452))</f>
        <v/>
      </c>
    </row>
    <row r="1453">
      <c r="A1453" s="18" t="n"/>
      <c r="B1453" s="19" t="n"/>
      <c r="C1453" s="19" t="n"/>
      <c r="D1453" s="19" t="n"/>
      <c r="E1453" s="20" t="n"/>
      <c r="F1453" s="20" t="n"/>
      <c r="G1453" s="19" t="n"/>
      <c r="H1453" s="21">
        <f>IF(A1453="","",YEAR(A1453)*100+MONTH(A1453))</f>
        <v/>
      </c>
    </row>
    <row r="1454">
      <c r="A1454" s="18" t="n"/>
      <c r="B1454" s="19" t="n"/>
      <c r="C1454" s="19" t="n"/>
      <c r="D1454" s="19" t="n"/>
      <c r="E1454" s="20" t="n"/>
      <c r="F1454" s="20" t="n"/>
      <c r="G1454" s="19" t="n"/>
      <c r="H1454" s="21">
        <f>IF(A1454="","",YEAR(A1454)*100+MONTH(A1454))</f>
        <v/>
      </c>
    </row>
    <row r="1455">
      <c r="A1455" s="18" t="n"/>
      <c r="B1455" s="19" t="n"/>
      <c r="C1455" s="19" t="n"/>
      <c r="D1455" s="19" t="n"/>
      <c r="E1455" s="20" t="n"/>
      <c r="F1455" s="20" t="n"/>
      <c r="G1455" s="19" t="n"/>
      <c r="H1455" s="21">
        <f>IF(A1455="","",YEAR(A1455)*100+MONTH(A1455))</f>
        <v/>
      </c>
    </row>
    <row r="1456">
      <c r="A1456" s="18" t="n"/>
      <c r="B1456" s="19" t="n"/>
      <c r="C1456" s="19" t="n"/>
      <c r="D1456" s="19" t="n"/>
      <c r="E1456" s="20" t="n"/>
      <c r="F1456" s="20" t="n"/>
      <c r="G1456" s="19" t="n"/>
      <c r="H1456" s="21">
        <f>IF(A1456="","",YEAR(A1456)*100+MONTH(A1456))</f>
        <v/>
      </c>
    </row>
    <row r="1457">
      <c r="A1457" s="18" t="n"/>
      <c r="B1457" s="19" t="n"/>
      <c r="C1457" s="19" t="n"/>
      <c r="D1457" s="19" t="n"/>
      <c r="E1457" s="20" t="n"/>
      <c r="F1457" s="20" t="n"/>
      <c r="G1457" s="19" t="n"/>
      <c r="H1457" s="21">
        <f>IF(A1457="","",YEAR(A1457)*100+MONTH(A1457))</f>
        <v/>
      </c>
    </row>
    <row r="1458">
      <c r="A1458" s="18" t="n"/>
      <c r="B1458" s="19" t="n"/>
      <c r="C1458" s="19" t="n"/>
      <c r="D1458" s="19" t="n"/>
      <c r="E1458" s="20" t="n"/>
      <c r="F1458" s="20" t="n"/>
      <c r="G1458" s="19" t="n"/>
      <c r="H1458" s="21">
        <f>IF(A1458="","",YEAR(A1458)*100+MONTH(A1458))</f>
        <v/>
      </c>
    </row>
    <row r="1459">
      <c r="A1459" s="18" t="n"/>
      <c r="B1459" s="19" t="n"/>
      <c r="C1459" s="19" t="n"/>
      <c r="D1459" s="19" t="n"/>
      <c r="E1459" s="20" t="n"/>
      <c r="F1459" s="20" t="n"/>
      <c r="G1459" s="19" t="n"/>
      <c r="H1459" s="21">
        <f>IF(A1459="","",YEAR(A1459)*100+MONTH(A1459))</f>
        <v/>
      </c>
    </row>
    <row r="1460">
      <c r="A1460" s="18" t="n"/>
      <c r="B1460" s="19" t="n"/>
      <c r="C1460" s="19" t="n"/>
      <c r="D1460" s="19" t="n"/>
      <c r="E1460" s="20" t="n"/>
      <c r="F1460" s="20" t="n"/>
      <c r="G1460" s="19" t="n"/>
      <c r="H1460" s="21">
        <f>IF(A1460="","",YEAR(A1460)*100+MONTH(A1460))</f>
        <v/>
      </c>
    </row>
    <row r="1461">
      <c r="A1461" s="18" t="n"/>
      <c r="B1461" s="19" t="n"/>
      <c r="C1461" s="19" t="n"/>
      <c r="D1461" s="19" t="n"/>
      <c r="E1461" s="20" t="n"/>
      <c r="F1461" s="20" t="n"/>
      <c r="G1461" s="19" t="n"/>
      <c r="H1461" s="21">
        <f>IF(A1461="","",YEAR(A1461)*100+MONTH(A1461))</f>
        <v/>
      </c>
    </row>
    <row r="1462">
      <c r="A1462" s="18" t="n"/>
      <c r="B1462" s="19" t="n"/>
      <c r="C1462" s="19" t="n"/>
      <c r="D1462" s="19" t="n"/>
      <c r="E1462" s="20" t="n"/>
      <c r="F1462" s="20" t="n"/>
      <c r="G1462" s="19" t="n"/>
      <c r="H1462" s="21">
        <f>IF(A1462="","",YEAR(A1462)*100+MONTH(A1462))</f>
        <v/>
      </c>
    </row>
    <row r="1463">
      <c r="A1463" s="18" t="n"/>
      <c r="B1463" s="19" t="n"/>
      <c r="C1463" s="19" t="n"/>
      <c r="D1463" s="19" t="n"/>
      <c r="E1463" s="20" t="n"/>
      <c r="F1463" s="20" t="n"/>
      <c r="G1463" s="19" t="n"/>
      <c r="H1463" s="21">
        <f>IF(A1463="","",YEAR(A1463)*100+MONTH(A1463))</f>
        <v/>
      </c>
    </row>
    <row r="1464">
      <c r="A1464" s="18" t="n"/>
      <c r="B1464" s="19" t="n"/>
      <c r="C1464" s="19" t="n"/>
      <c r="D1464" s="19" t="n"/>
      <c r="E1464" s="20" t="n"/>
      <c r="F1464" s="20" t="n"/>
      <c r="G1464" s="19" t="n"/>
      <c r="H1464" s="21">
        <f>IF(A1464="","",YEAR(A1464)*100+MONTH(A1464))</f>
        <v/>
      </c>
    </row>
    <row r="1465">
      <c r="A1465" s="18" t="n"/>
      <c r="B1465" s="19" t="n"/>
      <c r="C1465" s="19" t="n"/>
      <c r="D1465" s="19" t="n"/>
      <c r="E1465" s="20" t="n"/>
      <c r="F1465" s="20" t="n"/>
      <c r="G1465" s="19" t="n"/>
      <c r="H1465" s="21">
        <f>IF(A1465="","",YEAR(A1465)*100+MONTH(A1465))</f>
        <v/>
      </c>
    </row>
    <row r="1466">
      <c r="A1466" s="18" t="n"/>
      <c r="B1466" s="19" t="n"/>
      <c r="C1466" s="19" t="n"/>
      <c r="D1466" s="19" t="n"/>
      <c r="E1466" s="20" t="n"/>
      <c r="F1466" s="20" t="n"/>
      <c r="G1466" s="19" t="n"/>
      <c r="H1466" s="21">
        <f>IF(A1466="","",YEAR(A1466)*100+MONTH(A1466))</f>
        <v/>
      </c>
    </row>
    <row r="1467">
      <c r="A1467" s="18" t="n"/>
      <c r="B1467" s="19" t="n"/>
      <c r="C1467" s="19" t="n"/>
      <c r="D1467" s="19" t="n"/>
      <c r="E1467" s="20" t="n"/>
      <c r="F1467" s="20" t="n"/>
      <c r="G1467" s="19" t="n"/>
      <c r="H1467" s="21">
        <f>IF(A1467="","",YEAR(A1467)*100+MONTH(A1467))</f>
        <v/>
      </c>
    </row>
    <row r="1468">
      <c r="A1468" s="18" t="n"/>
      <c r="B1468" s="19" t="n"/>
      <c r="C1468" s="19" t="n"/>
      <c r="D1468" s="19" t="n"/>
      <c r="E1468" s="20" t="n"/>
      <c r="F1468" s="20" t="n"/>
      <c r="G1468" s="19" t="n"/>
      <c r="H1468" s="21">
        <f>IF(A1468="","",YEAR(A1468)*100+MONTH(A1468))</f>
        <v/>
      </c>
    </row>
    <row r="1469">
      <c r="A1469" s="18" t="n"/>
      <c r="B1469" s="19" t="n"/>
      <c r="C1469" s="19" t="n"/>
      <c r="D1469" s="19" t="n"/>
      <c r="E1469" s="20" t="n"/>
      <c r="F1469" s="20" t="n"/>
      <c r="G1469" s="19" t="n"/>
      <c r="H1469" s="21">
        <f>IF(A1469="","",YEAR(A1469)*100+MONTH(A1469))</f>
        <v/>
      </c>
    </row>
    <row r="1470">
      <c r="A1470" s="18" t="n"/>
      <c r="B1470" s="19" t="n"/>
      <c r="C1470" s="19" t="n"/>
      <c r="D1470" s="19" t="n"/>
      <c r="E1470" s="20" t="n"/>
      <c r="F1470" s="20" t="n"/>
      <c r="G1470" s="19" t="n"/>
      <c r="H1470" s="21">
        <f>IF(A1470="","",YEAR(A1470)*100+MONTH(A1470))</f>
        <v/>
      </c>
    </row>
    <row r="1471">
      <c r="A1471" s="18" t="n"/>
      <c r="B1471" s="19" t="n"/>
      <c r="C1471" s="19" t="n"/>
      <c r="D1471" s="19" t="n"/>
      <c r="E1471" s="20" t="n"/>
      <c r="F1471" s="20" t="n"/>
      <c r="G1471" s="19" t="n"/>
      <c r="H1471" s="21">
        <f>IF(A1471="","",YEAR(A1471)*100+MONTH(A1471))</f>
        <v/>
      </c>
    </row>
    <row r="1472">
      <c r="A1472" s="18" t="n"/>
      <c r="B1472" s="19" t="n"/>
      <c r="C1472" s="19" t="n"/>
      <c r="D1472" s="19" t="n"/>
      <c r="E1472" s="20" t="n"/>
      <c r="F1472" s="20" t="n"/>
      <c r="G1472" s="19" t="n"/>
      <c r="H1472" s="21">
        <f>IF(A1472="","",YEAR(A1472)*100+MONTH(A1472))</f>
        <v/>
      </c>
    </row>
    <row r="1473">
      <c r="A1473" s="18" t="n"/>
      <c r="B1473" s="19" t="n"/>
      <c r="C1473" s="19" t="n"/>
      <c r="D1473" s="19" t="n"/>
      <c r="E1473" s="20" t="n"/>
      <c r="F1473" s="20" t="n"/>
      <c r="G1473" s="19" t="n"/>
      <c r="H1473" s="21">
        <f>IF(A1473="","",YEAR(A1473)*100+MONTH(A1473))</f>
        <v/>
      </c>
    </row>
    <row r="1474">
      <c r="A1474" s="18" t="n"/>
      <c r="B1474" s="19" t="n"/>
      <c r="C1474" s="19" t="n"/>
      <c r="D1474" s="19" t="n"/>
      <c r="E1474" s="20" t="n"/>
      <c r="F1474" s="20" t="n"/>
      <c r="G1474" s="19" t="n"/>
      <c r="H1474" s="21">
        <f>IF(A1474="","",YEAR(A1474)*100+MONTH(A1474))</f>
        <v/>
      </c>
    </row>
    <row r="1475">
      <c r="A1475" s="18" t="n"/>
      <c r="B1475" s="19" t="n"/>
      <c r="C1475" s="19" t="n"/>
      <c r="D1475" s="19" t="n"/>
      <c r="E1475" s="20" t="n"/>
      <c r="F1475" s="20" t="n"/>
      <c r="G1475" s="19" t="n"/>
      <c r="H1475" s="21">
        <f>IF(A1475="","",YEAR(A1475)*100+MONTH(A1475))</f>
        <v/>
      </c>
    </row>
    <row r="1476">
      <c r="A1476" s="18" t="n"/>
      <c r="B1476" s="19" t="n"/>
      <c r="C1476" s="19" t="n"/>
      <c r="D1476" s="19" t="n"/>
      <c r="E1476" s="20" t="n"/>
      <c r="F1476" s="20" t="n"/>
      <c r="G1476" s="19" t="n"/>
      <c r="H1476" s="21">
        <f>IF(A1476="","",YEAR(A1476)*100+MONTH(A1476))</f>
        <v/>
      </c>
    </row>
    <row r="1477">
      <c r="A1477" s="18" t="n"/>
      <c r="B1477" s="19" t="n"/>
      <c r="C1477" s="19" t="n"/>
      <c r="D1477" s="19" t="n"/>
      <c r="E1477" s="20" t="n"/>
      <c r="F1477" s="20" t="n"/>
      <c r="G1477" s="19" t="n"/>
      <c r="H1477" s="21">
        <f>IF(A1477="","",YEAR(A1477)*100+MONTH(A1477))</f>
        <v/>
      </c>
    </row>
    <row r="1478">
      <c r="A1478" s="18" t="n"/>
      <c r="B1478" s="19" t="n"/>
      <c r="C1478" s="19" t="n"/>
      <c r="D1478" s="19" t="n"/>
      <c r="E1478" s="20" t="n"/>
      <c r="F1478" s="20" t="n"/>
      <c r="G1478" s="19" t="n"/>
      <c r="H1478" s="21">
        <f>IF(A1478="","",YEAR(A1478)*100+MONTH(A1478))</f>
        <v/>
      </c>
    </row>
    <row r="1479">
      <c r="A1479" s="18" t="n"/>
      <c r="B1479" s="19" t="n"/>
      <c r="C1479" s="19" t="n"/>
      <c r="D1479" s="19" t="n"/>
      <c r="E1479" s="20" t="n"/>
      <c r="F1479" s="20" t="n"/>
      <c r="G1479" s="19" t="n"/>
      <c r="H1479" s="21">
        <f>IF(A1479="","",YEAR(A1479)*100+MONTH(A1479))</f>
        <v/>
      </c>
    </row>
    <row r="1480">
      <c r="A1480" s="18" t="n"/>
      <c r="B1480" s="19" t="n"/>
      <c r="C1480" s="19" t="n"/>
      <c r="D1480" s="19" t="n"/>
      <c r="E1480" s="20" t="n"/>
      <c r="F1480" s="20" t="n"/>
      <c r="G1480" s="19" t="n"/>
      <c r="H1480" s="21">
        <f>IF(A1480="","",YEAR(A1480)*100+MONTH(A1480))</f>
        <v/>
      </c>
    </row>
    <row r="1481">
      <c r="A1481" s="18" t="n"/>
      <c r="B1481" s="19" t="n"/>
      <c r="C1481" s="19" t="n"/>
      <c r="D1481" s="19" t="n"/>
      <c r="E1481" s="20" t="n"/>
      <c r="F1481" s="20" t="n"/>
      <c r="G1481" s="19" t="n"/>
      <c r="H1481" s="21">
        <f>IF(A1481="","",YEAR(A1481)*100+MONTH(A1481))</f>
        <v/>
      </c>
    </row>
    <row r="1482">
      <c r="A1482" s="18" t="n"/>
      <c r="B1482" s="19" t="n"/>
      <c r="C1482" s="19" t="n"/>
      <c r="D1482" s="19" t="n"/>
      <c r="E1482" s="20" t="n"/>
      <c r="F1482" s="20" t="n"/>
      <c r="G1482" s="19" t="n"/>
      <c r="H1482" s="21">
        <f>IF(A1482="","",YEAR(A1482)*100+MONTH(A1482))</f>
        <v/>
      </c>
    </row>
    <row r="1483">
      <c r="A1483" s="18" t="n"/>
      <c r="B1483" s="19" t="n"/>
      <c r="C1483" s="19" t="n"/>
      <c r="D1483" s="19" t="n"/>
      <c r="E1483" s="20" t="n"/>
      <c r="F1483" s="20" t="n"/>
      <c r="G1483" s="19" t="n"/>
      <c r="H1483" s="21">
        <f>IF(A1483="","",YEAR(A1483)*100+MONTH(A1483))</f>
        <v/>
      </c>
    </row>
    <row r="1484">
      <c r="A1484" s="18" t="n"/>
      <c r="B1484" s="19" t="n"/>
      <c r="C1484" s="19" t="n"/>
      <c r="D1484" s="19" t="n"/>
      <c r="E1484" s="20" t="n"/>
      <c r="F1484" s="20" t="n"/>
      <c r="G1484" s="19" t="n"/>
      <c r="H1484" s="21">
        <f>IF(A1484="","",YEAR(A1484)*100+MONTH(A1484))</f>
        <v/>
      </c>
    </row>
    <row r="1485">
      <c r="A1485" s="18" t="n"/>
      <c r="B1485" s="19" t="n"/>
      <c r="C1485" s="19" t="n"/>
      <c r="D1485" s="19" t="n"/>
      <c r="E1485" s="20" t="n"/>
      <c r="F1485" s="20" t="n"/>
      <c r="G1485" s="19" t="n"/>
      <c r="H1485" s="21">
        <f>IF(A1485="","",YEAR(A1485)*100+MONTH(A1485))</f>
        <v/>
      </c>
    </row>
    <row r="1486">
      <c r="A1486" s="18" t="n"/>
      <c r="B1486" s="19" t="n"/>
      <c r="C1486" s="19" t="n"/>
      <c r="D1486" s="19" t="n"/>
      <c r="E1486" s="20" t="n"/>
      <c r="F1486" s="20" t="n"/>
      <c r="G1486" s="19" t="n"/>
      <c r="H1486" s="21">
        <f>IF(A1486="","",YEAR(A1486)*100+MONTH(A1486))</f>
        <v/>
      </c>
    </row>
    <row r="1487">
      <c r="A1487" s="18" t="n"/>
      <c r="B1487" s="19" t="n"/>
      <c r="C1487" s="19" t="n"/>
      <c r="D1487" s="19" t="n"/>
      <c r="E1487" s="20" t="n"/>
      <c r="F1487" s="20" t="n"/>
      <c r="G1487" s="19" t="n"/>
      <c r="H1487" s="21">
        <f>IF(A1487="","",YEAR(A1487)*100+MONTH(A1487))</f>
        <v/>
      </c>
    </row>
    <row r="1488">
      <c r="A1488" s="18" t="n"/>
      <c r="B1488" s="19" t="n"/>
      <c r="C1488" s="19" t="n"/>
      <c r="D1488" s="19" t="n"/>
      <c r="E1488" s="20" t="n"/>
      <c r="F1488" s="20" t="n"/>
      <c r="G1488" s="19" t="n"/>
      <c r="H1488" s="21">
        <f>IF(A1488="","",YEAR(A1488)*100+MONTH(A1488))</f>
        <v/>
      </c>
    </row>
    <row r="1489">
      <c r="A1489" s="18" t="n"/>
      <c r="B1489" s="19" t="n"/>
      <c r="C1489" s="19" t="n"/>
      <c r="D1489" s="19" t="n"/>
      <c r="E1489" s="20" t="n"/>
      <c r="F1489" s="20" t="n"/>
      <c r="G1489" s="19" t="n"/>
      <c r="H1489" s="21">
        <f>IF(A1489="","",YEAR(A1489)*100+MONTH(A1489))</f>
        <v/>
      </c>
    </row>
    <row r="1490">
      <c r="A1490" s="18" t="n"/>
      <c r="B1490" s="19" t="n"/>
      <c r="C1490" s="19" t="n"/>
      <c r="D1490" s="19" t="n"/>
      <c r="E1490" s="20" t="n"/>
      <c r="F1490" s="20" t="n"/>
      <c r="G1490" s="19" t="n"/>
      <c r="H1490" s="21">
        <f>IF(A1490="","",YEAR(A1490)*100+MONTH(A1490))</f>
        <v/>
      </c>
    </row>
    <row r="1491">
      <c r="A1491" s="18" t="n"/>
      <c r="B1491" s="19" t="n"/>
      <c r="C1491" s="19" t="n"/>
      <c r="D1491" s="19" t="n"/>
      <c r="E1491" s="20" t="n"/>
      <c r="F1491" s="20" t="n"/>
      <c r="G1491" s="19" t="n"/>
      <c r="H1491" s="21">
        <f>IF(A1491="","",YEAR(A1491)*100+MONTH(A1491))</f>
        <v/>
      </c>
    </row>
    <row r="1492">
      <c r="A1492" s="18" t="n"/>
      <c r="B1492" s="19" t="n"/>
      <c r="C1492" s="19" t="n"/>
      <c r="D1492" s="19" t="n"/>
      <c r="E1492" s="20" t="n"/>
      <c r="F1492" s="20" t="n"/>
      <c r="G1492" s="19" t="n"/>
      <c r="H1492" s="21">
        <f>IF(A1492="","",YEAR(A1492)*100+MONTH(A1492))</f>
        <v/>
      </c>
    </row>
    <row r="1493">
      <c r="A1493" s="18" t="n"/>
      <c r="B1493" s="19" t="n"/>
      <c r="C1493" s="19" t="n"/>
      <c r="D1493" s="19" t="n"/>
      <c r="E1493" s="20" t="n"/>
      <c r="F1493" s="20" t="n"/>
      <c r="G1493" s="19" t="n"/>
      <c r="H1493" s="21">
        <f>IF(A1493="","",YEAR(A1493)*100+MONTH(A1493))</f>
        <v/>
      </c>
    </row>
    <row r="1494">
      <c r="A1494" s="18" t="n"/>
      <c r="B1494" s="19" t="n"/>
      <c r="C1494" s="19" t="n"/>
      <c r="D1494" s="19" t="n"/>
      <c r="E1494" s="20" t="n"/>
      <c r="F1494" s="20" t="n"/>
      <c r="G1494" s="19" t="n"/>
      <c r="H1494" s="21">
        <f>IF(A1494="","",YEAR(A1494)*100+MONTH(A1494))</f>
        <v/>
      </c>
    </row>
    <row r="1495">
      <c r="A1495" s="18" t="n"/>
      <c r="B1495" s="19" t="n"/>
      <c r="C1495" s="19" t="n"/>
      <c r="D1495" s="19" t="n"/>
      <c r="E1495" s="20" t="n"/>
      <c r="F1495" s="20" t="n"/>
      <c r="G1495" s="19" t="n"/>
      <c r="H1495" s="21">
        <f>IF(A1495="","",YEAR(A1495)*100+MONTH(A1495))</f>
        <v/>
      </c>
    </row>
    <row r="1496">
      <c r="A1496" s="18" t="n"/>
      <c r="B1496" s="19" t="n"/>
      <c r="C1496" s="19" t="n"/>
      <c r="D1496" s="19" t="n"/>
      <c r="E1496" s="20" t="n"/>
      <c r="F1496" s="20" t="n"/>
      <c r="G1496" s="19" t="n"/>
      <c r="H1496" s="21">
        <f>IF(A1496="","",YEAR(A1496)*100+MONTH(A1496))</f>
        <v/>
      </c>
    </row>
    <row r="1497">
      <c r="A1497" s="18" t="n"/>
      <c r="B1497" s="19" t="n"/>
      <c r="C1497" s="19" t="n"/>
      <c r="D1497" s="19" t="n"/>
      <c r="E1497" s="20" t="n"/>
      <c r="F1497" s="20" t="n"/>
      <c r="G1497" s="19" t="n"/>
      <c r="H1497" s="21">
        <f>IF(A1497="","",YEAR(A1497)*100+MONTH(A1497))</f>
        <v/>
      </c>
    </row>
    <row r="1498">
      <c r="A1498" s="18" t="n"/>
      <c r="B1498" s="19" t="n"/>
      <c r="C1498" s="19" t="n"/>
      <c r="D1498" s="19" t="n"/>
      <c r="E1498" s="20" t="n"/>
      <c r="F1498" s="20" t="n"/>
      <c r="G1498" s="19" t="n"/>
      <c r="H1498" s="21">
        <f>IF(A1498="","",YEAR(A1498)*100+MONTH(A1498))</f>
        <v/>
      </c>
    </row>
    <row r="1499">
      <c r="A1499" s="18" t="n"/>
      <c r="B1499" s="19" t="n"/>
      <c r="C1499" s="19" t="n"/>
      <c r="D1499" s="19" t="n"/>
      <c r="E1499" s="20" t="n"/>
      <c r="F1499" s="20" t="n"/>
      <c r="G1499" s="19" t="n"/>
      <c r="H1499" s="21">
        <f>IF(A1499="","",YEAR(A1499)*100+MONTH(A1499))</f>
        <v/>
      </c>
    </row>
    <row r="1500">
      <c r="A1500" s="18" t="n"/>
      <c r="B1500" s="19" t="n"/>
      <c r="C1500" s="19" t="n"/>
      <c r="D1500" s="19" t="n"/>
      <c r="E1500" s="20" t="n"/>
      <c r="F1500" s="20" t="n"/>
      <c r="G1500" s="19" t="n"/>
      <c r="H1500" s="21">
        <f>IF(A1500="","",YEAR(A1500)*100+MONTH(A1500))</f>
        <v/>
      </c>
    </row>
    <row r="1501">
      <c r="A1501" s="18" t="n"/>
      <c r="B1501" s="19" t="n"/>
      <c r="C1501" s="19" t="n"/>
      <c r="D1501" s="19" t="n"/>
      <c r="E1501" s="20" t="n"/>
      <c r="F1501" s="20" t="n"/>
      <c r="G1501" s="19" t="n"/>
      <c r="H1501" s="21">
        <f>IF(A1501="","",YEAR(A1501)*100+MONTH(A1501))</f>
        <v/>
      </c>
    </row>
    <row r="1502">
      <c r="A1502" s="18" t="n"/>
      <c r="B1502" s="19" t="n"/>
      <c r="C1502" s="19" t="n"/>
      <c r="D1502" s="19" t="n"/>
      <c r="E1502" s="20" t="n"/>
      <c r="F1502" s="20" t="n"/>
      <c r="G1502" s="19" t="n"/>
      <c r="H1502" s="21">
        <f>IF(A1502="","",YEAR(A1502)*100+MONTH(A1502))</f>
        <v/>
      </c>
    </row>
    <row r="1503">
      <c r="A1503" s="18" t="n"/>
      <c r="B1503" s="19" t="n"/>
      <c r="C1503" s="19" t="n"/>
      <c r="D1503" s="19" t="n"/>
      <c r="E1503" s="20" t="n"/>
      <c r="F1503" s="20" t="n"/>
      <c r="G1503" s="19" t="n"/>
      <c r="H1503" s="21">
        <f>IF(A1503="","",YEAR(A1503)*100+MONTH(A1503))</f>
        <v/>
      </c>
    </row>
    <row r="1504">
      <c r="A1504" s="18" t="n"/>
      <c r="B1504" s="19" t="n"/>
      <c r="C1504" s="19" t="n"/>
      <c r="D1504" s="19" t="n"/>
      <c r="E1504" s="20" t="n"/>
      <c r="F1504" s="20" t="n"/>
      <c r="G1504" s="19" t="n"/>
      <c r="H1504" s="21">
        <f>IF(A1504="","",YEAR(A1504)*100+MONTH(A1504))</f>
        <v/>
      </c>
    </row>
    <row r="1505">
      <c r="A1505" s="18" t="n"/>
      <c r="B1505" s="19" t="n"/>
      <c r="C1505" s="19" t="n"/>
      <c r="D1505" s="19" t="n"/>
      <c r="E1505" s="20" t="n"/>
      <c r="F1505" s="20" t="n"/>
      <c r="G1505" s="19" t="n"/>
      <c r="H1505" s="21">
        <f>IF(A1505="","",YEAR(A1505)*100+MONTH(A1505))</f>
        <v/>
      </c>
    </row>
    <row r="1506">
      <c r="A1506" s="18" t="n"/>
      <c r="B1506" s="19" t="n"/>
      <c r="C1506" s="19" t="n"/>
      <c r="D1506" s="19" t="n"/>
      <c r="E1506" s="20" t="n"/>
      <c r="F1506" s="20" t="n"/>
      <c r="G1506" s="19" t="n"/>
      <c r="H1506" s="21">
        <f>IF(A1506="","",YEAR(A1506)*100+MONTH(A1506))</f>
        <v/>
      </c>
    </row>
    <row r="1507">
      <c r="A1507" s="18" t="n"/>
      <c r="B1507" s="19" t="n"/>
      <c r="C1507" s="19" t="n"/>
      <c r="D1507" s="19" t="n"/>
      <c r="E1507" s="20" t="n"/>
      <c r="F1507" s="20" t="n"/>
      <c r="G1507" s="19" t="n"/>
      <c r="H1507" s="21">
        <f>IF(A1507="","",YEAR(A1507)*100+MONTH(A1507))</f>
        <v/>
      </c>
    </row>
    <row r="1508">
      <c r="A1508" s="18" t="n"/>
      <c r="B1508" s="19" t="n"/>
      <c r="C1508" s="19" t="n"/>
      <c r="D1508" s="19" t="n"/>
      <c r="E1508" s="20" t="n"/>
      <c r="F1508" s="20" t="n"/>
      <c r="G1508" s="19" t="n"/>
      <c r="H1508" s="21">
        <f>IF(A1508="","",YEAR(A1508)*100+MONTH(A1508))</f>
        <v/>
      </c>
    </row>
    <row r="1509">
      <c r="A1509" s="18" t="n"/>
      <c r="B1509" s="19" t="n"/>
      <c r="C1509" s="19" t="n"/>
      <c r="D1509" s="19" t="n"/>
      <c r="E1509" s="20" t="n"/>
      <c r="F1509" s="20" t="n"/>
      <c r="G1509" s="19" t="n"/>
      <c r="H1509" s="21">
        <f>IF(A1509="","",YEAR(A1509)*100+MONTH(A1509))</f>
        <v/>
      </c>
    </row>
    <row r="1510">
      <c r="A1510" s="18" t="n"/>
      <c r="B1510" s="19" t="n"/>
      <c r="C1510" s="19" t="n"/>
      <c r="D1510" s="19" t="n"/>
      <c r="E1510" s="20" t="n"/>
      <c r="F1510" s="20" t="n"/>
      <c r="G1510" s="19" t="n"/>
      <c r="H1510" s="21">
        <f>IF(A1510="","",YEAR(A1510)*100+MONTH(A1510))</f>
        <v/>
      </c>
    </row>
    <row r="1511">
      <c r="A1511" s="18" t="n"/>
      <c r="B1511" s="19" t="n"/>
      <c r="C1511" s="19" t="n"/>
      <c r="D1511" s="19" t="n"/>
      <c r="E1511" s="20" t="n"/>
      <c r="F1511" s="20" t="n"/>
      <c r="G1511" s="19" t="n"/>
      <c r="H1511" s="21">
        <f>IF(A1511="","",YEAR(A1511)*100+MONTH(A1511))</f>
        <v/>
      </c>
    </row>
    <row r="1512">
      <c r="A1512" s="18" t="n"/>
      <c r="B1512" s="19" t="n"/>
      <c r="C1512" s="19" t="n"/>
      <c r="D1512" s="19" t="n"/>
      <c r="E1512" s="20" t="n"/>
      <c r="F1512" s="20" t="n"/>
      <c r="G1512" s="19" t="n"/>
      <c r="H1512" s="21">
        <f>IF(A1512="","",YEAR(A1512)*100+MONTH(A1512))</f>
        <v/>
      </c>
    </row>
    <row r="1513">
      <c r="A1513" s="18" t="n"/>
      <c r="B1513" s="19" t="n"/>
      <c r="C1513" s="19" t="n"/>
      <c r="D1513" s="19" t="n"/>
      <c r="E1513" s="20" t="n"/>
      <c r="F1513" s="20" t="n"/>
      <c r="G1513" s="19" t="n"/>
      <c r="H1513" s="21">
        <f>IF(A1513="","",YEAR(A1513)*100+MONTH(A1513))</f>
        <v/>
      </c>
    </row>
    <row r="1514">
      <c r="A1514" s="18" t="n"/>
      <c r="B1514" s="19" t="n"/>
      <c r="C1514" s="19" t="n"/>
      <c r="D1514" s="19" t="n"/>
      <c r="E1514" s="20" t="n"/>
      <c r="F1514" s="20" t="n"/>
      <c r="G1514" s="19" t="n"/>
      <c r="H1514" s="21">
        <f>IF(A1514="","",YEAR(A1514)*100+MONTH(A1514))</f>
        <v/>
      </c>
    </row>
    <row r="1515">
      <c r="A1515" s="18" t="n"/>
      <c r="B1515" s="19" t="n"/>
      <c r="C1515" s="19" t="n"/>
      <c r="D1515" s="19" t="n"/>
      <c r="E1515" s="20" t="n"/>
      <c r="F1515" s="20" t="n"/>
      <c r="G1515" s="19" t="n"/>
      <c r="H1515" s="21">
        <f>IF(A1515="","",YEAR(A1515)*100+MONTH(A1515))</f>
        <v/>
      </c>
    </row>
    <row r="1516">
      <c r="A1516" s="18" t="n"/>
      <c r="B1516" s="19" t="n"/>
      <c r="C1516" s="19" t="n"/>
      <c r="D1516" s="19" t="n"/>
      <c r="E1516" s="20" t="n"/>
      <c r="F1516" s="20" t="n"/>
      <c r="G1516" s="19" t="n"/>
      <c r="H1516" s="21">
        <f>IF(A1516="","",YEAR(A1516)*100+MONTH(A1516))</f>
        <v/>
      </c>
    </row>
    <row r="1517">
      <c r="A1517" s="18" t="n"/>
      <c r="B1517" s="19" t="n"/>
      <c r="C1517" s="19" t="n"/>
      <c r="D1517" s="19" t="n"/>
      <c r="E1517" s="20" t="n"/>
      <c r="F1517" s="20" t="n"/>
      <c r="G1517" s="19" t="n"/>
      <c r="H1517" s="21">
        <f>IF(A1517="","",YEAR(A1517)*100+MONTH(A1517))</f>
        <v/>
      </c>
    </row>
    <row r="1518">
      <c r="A1518" s="18" t="n"/>
      <c r="B1518" s="19" t="n"/>
      <c r="C1518" s="19" t="n"/>
      <c r="D1518" s="19" t="n"/>
      <c r="E1518" s="20" t="n"/>
      <c r="F1518" s="20" t="n"/>
      <c r="G1518" s="19" t="n"/>
      <c r="H1518" s="21">
        <f>IF(A1518="","",YEAR(A1518)*100+MONTH(A1518))</f>
        <v/>
      </c>
    </row>
    <row r="1519">
      <c r="A1519" s="18" t="n"/>
      <c r="B1519" s="19" t="n"/>
      <c r="C1519" s="19" t="n"/>
      <c r="D1519" s="19" t="n"/>
      <c r="E1519" s="20" t="n"/>
      <c r="F1519" s="20" t="n"/>
      <c r="G1519" s="19" t="n"/>
      <c r="H1519" s="21">
        <f>IF(A1519="","",YEAR(A1519)*100+MONTH(A1519))</f>
        <v/>
      </c>
    </row>
    <row r="1520">
      <c r="A1520" s="18" t="n"/>
      <c r="B1520" s="19" t="n"/>
      <c r="C1520" s="19" t="n"/>
      <c r="D1520" s="19" t="n"/>
      <c r="E1520" s="20" t="n"/>
      <c r="F1520" s="20" t="n"/>
      <c r="G1520" s="19" t="n"/>
      <c r="H1520" s="21">
        <f>IF(A1520="","",YEAR(A1520)*100+MONTH(A1520))</f>
        <v/>
      </c>
    </row>
    <row r="1521">
      <c r="A1521" s="18" t="n"/>
      <c r="B1521" s="19" t="n"/>
      <c r="C1521" s="19" t="n"/>
      <c r="D1521" s="19" t="n"/>
      <c r="E1521" s="20" t="n"/>
      <c r="F1521" s="20" t="n"/>
      <c r="G1521" s="19" t="n"/>
      <c r="H1521" s="21">
        <f>IF(A1521="","",YEAR(A1521)*100+MONTH(A1521))</f>
        <v/>
      </c>
    </row>
    <row r="1522">
      <c r="A1522" s="18" t="n"/>
      <c r="B1522" s="19" t="n"/>
      <c r="C1522" s="19" t="n"/>
      <c r="D1522" s="19" t="n"/>
      <c r="E1522" s="20" t="n"/>
      <c r="F1522" s="20" t="n"/>
      <c r="G1522" s="19" t="n"/>
      <c r="H1522" s="21">
        <f>IF(A1522="","",YEAR(A1522)*100+MONTH(A1522))</f>
        <v/>
      </c>
    </row>
    <row r="1523">
      <c r="A1523" s="18" t="n"/>
      <c r="B1523" s="19" t="n"/>
      <c r="C1523" s="19" t="n"/>
      <c r="D1523" s="19" t="n"/>
      <c r="E1523" s="20" t="n"/>
      <c r="F1523" s="20" t="n"/>
      <c r="G1523" s="19" t="n"/>
      <c r="H1523" s="21">
        <f>IF(A1523="","",YEAR(A1523)*100+MONTH(A1523))</f>
        <v/>
      </c>
    </row>
    <row r="1524">
      <c r="A1524" s="18" t="n"/>
      <c r="B1524" s="19" t="n"/>
      <c r="C1524" s="19" t="n"/>
      <c r="D1524" s="19" t="n"/>
      <c r="E1524" s="20" t="n"/>
      <c r="F1524" s="20" t="n"/>
      <c r="G1524" s="19" t="n"/>
      <c r="H1524" s="21">
        <f>IF(A1524="","",YEAR(A1524)*100+MONTH(A1524))</f>
        <v/>
      </c>
    </row>
    <row r="1525">
      <c r="A1525" s="18" t="n"/>
      <c r="B1525" s="19" t="n"/>
      <c r="C1525" s="19" t="n"/>
      <c r="D1525" s="19" t="n"/>
      <c r="E1525" s="20" t="n"/>
      <c r="F1525" s="20" t="n"/>
      <c r="G1525" s="19" t="n"/>
      <c r="H1525" s="21">
        <f>IF(A1525="","",YEAR(A1525)*100+MONTH(A1525))</f>
        <v/>
      </c>
    </row>
    <row r="1526">
      <c r="A1526" s="18" t="n"/>
      <c r="B1526" s="19" t="n"/>
      <c r="C1526" s="19" t="n"/>
      <c r="D1526" s="19" t="n"/>
      <c r="E1526" s="20" t="n"/>
      <c r="F1526" s="20" t="n"/>
      <c r="G1526" s="19" t="n"/>
      <c r="H1526" s="21">
        <f>IF(A1526="","",YEAR(A1526)*100+MONTH(A1526))</f>
        <v/>
      </c>
    </row>
    <row r="1527">
      <c r="A1527" s="18" t="n"/>
      <c r="B1527" s="19" t="n"/>
      <c r="C1527" s="19" t="n"/>
      <c r="D1527" s="19" t="n"/>
      <c r="E1527" s="20" t="n"/>
      <c r="F1527" s="20" t="n"/>
      <c r="G1527" s="19" t="n"/>
      <c r="H1527" s="21">
        <f>IF(A1527="","",YEAR(A1527)*100+MONTH(A1527))</f>
        <v/>
      </c>
    </row>
    <row r="1528">
      <c r="A1528" s="18" t="n"/>
      <c r="B1528" s="19" t="n"/>
      <c r="C1528" s="19" t="n"/>
      <c r="D1528" s="19" t="n"/>
      <c r="E1528" s="20" t="n"/>
      <c r="F1528" s="20" t="n"/>
      <c r="G1528" s="19" t="n"/>
      <c r="H1528" s="21">
        <f>IF(A1528="","",YEAR(A1528)*100+MONTH(A1528))</f>
        <v/>
      </c>
    </row>
    <row r="1529">
      <c r="A1529" s="18" t="n"/>
      <c r="B1529" s="19" t="n"/>
      <c r="C1529" s="19" t="n"/>
      <c r="D1529" s="19" t="n"/>
      <c r="E1529" s="20" t="n"/>
      <c r="F1529" s="20" t="n"/>
      <c r="G1529" s="19" t="n"/>
      <c r="H1529" s="21">
        <f>IF(A1529="","",YEAR(A1529)*100+MONTH(A1529))</f>
        <v/>
      </c>
    </row>
    <row r="1530">
      <c r="A1530" s="18" t="n"/>
      <c r="B1530" s="19" t="n"/>
      <c r="C1530" s="19" t="n"/>
      <c r="D1530" s="19" t="n"/>
      <c r="E1530" s="20" t="n"/>
      <c r="F1530" s="20" t="n"/>
      <c r="G1530" s="19" t="n"/>
      <c r="H1530" s="21">
        <f>IF(A1530="","",YEAR(A1530)*100+MONTH(A1530))</f>
        <v/>
      </c>
    </row>
    <row r="1531">
      <c r="A1531" s="18" t="n"/>
      <c r="B1531" s="19" t="n"/>
      <c r="C1531" s="19" t="n"/>
      <c r="D1531" s="19" t="n"/>
      <c r="E1531" s="20" t="n"/>
      <c r="F1531" s="20" t="n"/>
      <c r="G1531" s="19" t="n"/>
      <c r="H1531" s="21">
        <f>IF(A1531="","",YEAR(A1531)*100+MONTH(A1531))</f>
        <v/>
      </c>
    </row>
    <row r="1532">
      <c r="A1532" s="18" t="n"/>
      <c r="B1532" s="19" t="n"/>
      <c r="C1532" s="19" t="n"/>
      <c r="D1532" s="19" t="n"/>
      <c r="E1532" s="20" t="n"/>
      <c r="F1532" s="20" t="n"/>
      <c r="G1532" s="19" t="n"/>
      <c r="H1532" s="21">
        <f>IF(A1532="","",YEAR(A1532)*100+MONTH(A1532))</f>
        <v/>
      </c>
    </row>
    <row r="1533">
      <c r="A1533" s="18" t="n"/>
      <c r="B1533" s="19" t="n"/>
      <c r="C1533" s="19" t="n"/>
      <c r="D1533" s="19" t="n"/>
      <c r="E1533" s="20" t="n"/>
      <c r="F1533" s="20" t="n"/>
      <c r="G1533" s="19" t="n"/>
      <c r="H1533" s="21">
        <f>IF(A1533="","",YEAR(A1533)*100+MONTH(A1533))</f>
        <v/>
      </c>
    </row>
    <row r="1534">
      <c r="A1534" s="18" t="n"/>
      <c r="B1534" s="19" t="n"/>
      <c r="C1534" s="19" t="n"/>
      <c r="D1534" s="19" t="n"/>
      <c r="E1534" s="20" t="n"/>
      <c r="F1534" s="20" t="n"/>
      <c r="G1534" s="19" t="n"/>
      <c r="H1534" s="21">
        <f>IF(A1534="","",YEAR(A1534)*100+MONTH(A1534))</f>
        <v/>
      </c>
    </row>
    <row r="1535">
      <c r="A1535" s="18" t="n"/>
      <c r="B1535" s="19" t="n"/>
      <c r="C1535" s="19" t="n"/>
      <c r="D1535" s="19" t="n"/>
      <c r="E1535" s="20" t="n"/>
      <c r="F1535" s="20" t="n"/>
      <c r="G1535" s="19" t="n"/>
      <c r="H1535" s="21">
        <f>IF(A1535="","",YEAR(A1535)*100+MONTH(A1535))</f>
        <v/>
      </c>
    </row>
    <row r="1536">
      <c r="A1536" s="18" t="n"/>
      <c r="B1536" s="19" t="n"/>
      <c r="C1536" s="19" t="n"/>
      <c r="D1536" s="19" t="n"/>
      <c r="E1536" s="20" t="n"/>
      <c r="F1536" s="20" t="n"/>
      <c r="G1536" s="19" t="n"/>
      <c r="H1536" s="21">
        <f>IF(A1536="","",YEAR(A1536)*100+MONTH(A1536))</f>
        <v/>
      </c>
    </row>
    <row r="1537">
      <c r="A1537" s="18" t="n"/>
      <c r="B1537" s="19" t="n"/>
      <c r="C1537" s="19" t="n"/>
      <c r="D1537" s="19" t="n"/>
      <c r="E1537" s="20" t="n"/>
      <c r="F1537" s="20" t="n"/>
      <c r="G1537" s="19" t="n"/>
      <c r="H1537" s="21">
        <f>IF(A1537="","",YEAR(A1537)*100+MONTH(A1537))</f>
        <v/>
      </c>
    </row>
    <row r="1538">
      <c r="A1538" s="18" t="n"/>
      <c r="B1538" s="19" t="n"/>
      <c r="C1538" s="19" t="n"/>
      <c r="D1538" s="19" t="n"/>
      <c r="E1538" s="20" t="n"/>
      <c r="F1538" s="20" t="n"/>
      <c r="G1538" s="19" t="n"/>
      <c r="H1538" s="21">
        <f>IF(A1538="","",YEAR(A1538)*100+MONTH(A1538))</f>
        <v/>
      </c>
    </row>
    <row r="1539">
      <c r="A1539" s="18" t="n"/>
      <c r="B1539" s="19" t="n"/>
      <c r="C1539" s="19" t="n"/>
      <c r="D1539" s="19" t="n"/>
      <c r="E1539" s="20" t="n"/>
      <c r="F1539" s="20" t="n"/>
      <c r="G1539" s="19" t="n"/>
      <c r="H1539" s="21">
        <f>IF(A1539="","",YEAR(A1539)*100+MONTH(A1539))</f>
        <v/>
      </c>
    </row>
    <row r="1540">
      <c r="A1540" s="18" t="n"/>
      <c r="B1540" s="19" t="n"/>
      <c r="C1540" s="19" t="n"/>
      <c r="D1540" s="19" t="n"/>
      <c r="E1540" s="20" t="n"/>
      <c r="F1540" s="20" t="n"/>
      <c r="G1540" s="19" t="n"/>
      <c r="H1540" s="21">
        <f>IF(A1540="","",YEAR(A1540)*100+MONTH(A1540))</f>
        <v/>
      </c>
    </row>
    <row r="1541">
      <c r="A1541" s="18" t="n"/>
      <c r="B1541" s="19" t="n"/>
      <c r="C1541" s="19" t="n"/>
      <c r="D1541" s="19" t="n"/>
      <c r="E1541" s="20" t="n"/>
      <c r="F1541" s="20" t="n"/>
      <c r="G1541" s="19" t="n"/>
      <c r="H1541" s="21">
        <f>IF(A1541="","",YEAR(A1541)*100+MONTH(A1541))</f>
        <v/>
      </c>
    </row>
    <row r="1542">
      <c r="A1542" s="18" t="n"/>
      <c r="B1542" s="19" t="n"/>
      <c r="C1542" s="19" t="n"/>
      <c r="D1542" s="19" t="n"/>
      <c r="E1542" s="20" t="n"/>
      <c r="F1542" s="20" t="n"/>
      <c r="G1542" s="19" t="n"/>
      <c r="H1542" s="21">
        <f>IF(A1542="","",YEAR(A1542)*100+MONTH(A1542))</f>
        <v/>
      </c>
    </row>
    <row r="1543">
      <c r="A1543" s="18" t="n"/>
      <c r="B1543" s="19" t="n"/>
      <c r="C1543" s="19" t="n"/>
      <c r="D1543" s="19" t="n"/>
      <c r="E1543" s="20" t="n"/>
      <c r="F1543" s="20" t="n"/>
      <c r="G1543" s="19" t="n"/>
      <c r="H1543" s="21">
        <f>IF(A1543="","",YEAR(A1543)*100+MONTH(A1543))</f>
        <v/>
      </c>
    </row>
    <row r="1544">
      <c r="A1544" s="18" t="n"/>
      <c r="B1544" s="19" t="n"/>
      <c r="C1544" s="19" t="n"/>
      <c r="D1544" s="19" t="n"/>
      <c r="E1544" s="20" t="n"/>
      <c r="F1544" s="20" t="n"/>
      <c r="G1544" s="19" t="n"/>
      <c r="H1544" s="21">
        <f>IF(A1544="","",YEAR(A1544)*100+MONTH(A1544))</f>
        <v/>
      </c>
    </row>
    <row r="1545">
      <c r="A1545" s="18" t="n"/>
      <c r="B1545" s="19" t="n"/>
      <c r="C1545" s="19" t="n"/>
      <c r="D1545" s="19" t="n"/>
      <c r="E1545" s="20" t="n"/>
      <c r="F1545" s="20" t="n"/>
      <c r="G1545" s="19" t="n"/>
      <c r="H1545" s="21">
        <f>IF(A1545="","",YEAR(A1545)*100+MONTH(A1545))</f>
        <v/>
      </c>
    </row>
    <row r="1546">
      <c r="A1546" s="18" t="n"/>
      <c r="B1546" s="19" t="n"/>
      <c r="C1546" s="19" t="n"/>
      <c r="D1546" s="19" t="n"/>
      <c r="E1546" s="20" t="n"/>
      <c r="F1546" s="20" t="n"/>
      <c r="G1546" s="19" t="n"/>
      <c r="H1546" s="21">
        <f>IF(A1546="","",YEAR(A1546)*100+MONTH(A1546))</f>
        <v/>
      </c>
    </row>
    <row r="1547">
      <c r="A1547" s="18" t="n"/>
      <c r="B1547" s="19" t="n"/>
      <c r="C1547" s="19" t="n"/>
      <c r="D1547" s="19" t="n"/>
      <c r="E1547" s="20" t="n"/>
      <c r="F1547" s="20" t="n"/>
      <c r="G1547" s="19" t="n"/>
      <c r="H1547" s="21">
        <f>IF(A1547="","",YEAR(A1547)*100+MONTH(A1547))</f>
        <v/>
      </c>
    </row>
    <row r="1548">
      <c r="A1548" s="18" t="n"/>
      <c r="B1548" s="19" t="n"/>
      <c r="C1548" s="19" t="n"/>
      <c r="D1548" s="19" t="n"/>
      <c r="E1548" s="20" t="n"/>
      <c r="F1548" s="20" t="n"/>
      <c r="G1548" s="19" t="n"/>
      <c r="H1548" s="21">
        <f>IF(A1548="","",YEAR(A1548)*100+MONTH(A1548))</f>
        <v/>
      </c>
    </row>
    <row r="1549">
      <c r="A1549" s="18" t="n"/>
      <c r="B1549" s="19" t="n"/>
      <c r="C1549" s="19" t="n"/>
      <c r="D1549" s="19" t="n"/>
      <c r="E1549" s="20" t="n"/>
      <c r="F1549" s="20" t="n"/>
      <c r="G1549" s="19" t="n"/>
      <c r="H1549" s="21">
        <f>IF(A1549="","",YEAR(A1549)*100+MONTH(A1549))</f>
        <v/>
      </c>
    </row>
    <row r="1550">
      <c r="A1550" s="18" t="n"/>
      <c r="B1550" s="19" t="n"/>
      <c r="C1550" s="19" t="n"/>
      <c r="D1550" s="19" t="n"/>
      <c r="E1550" s="20" t="n"/>
      <c r="F1550" s="20" t="n"/>
      <c r="G1550" s="19" t="n"/>
      <c r="H1550" s="21">
        <f>IF(A1550="","",YEAR(A1550)*100+MONTH(A1550))</f>
        <v/>
      </c>
    </row>
    <row r="1551">
      <c r="A1551" s="18" t="n"/>
      <c r="B1551" s="19" t="n"/>
      <c r="C1551" s="19" t="n"/>
      <c r="D1551" s="19" t="n"/>
      <c r="E1551" s="20" t="n"/>
      <c r="F1551" s="20" t="n"/>
      <c r="G1551" s="19" t="n"/>
      <c r="H1551" s="21">
        <f>IF(A1551="","",YEAR(A1551)*100+MONTH(A1551))</f>
        <v/>
      </c>
    </row>
    <row r="1552">
      <c r="A1552" s="18" t="n"/>
      <c r="B1552" s="19" t="n"/>
      <c r="C1552" s="19" t="n"/>
      <c r="D1552" s="19" t="n"/>
      <c r="E1552" s="20" t="n"/>
      <c r="F1552" s="20" t="n"/>
      <c r="G1552" s="19" t="n"/>
      <c r="H1552" s="21">
        <f>IF(A1552="","",YEAR(A1552)*100+MONTH(A1552))</f>
        <v/>
      </c>
    </row>
    <row r="1553">
      <c r="A1553" s="18" t="n"/>
      <c r="B1553" s="19" t="n"/>
      <c r="C1553" s="19" t="n"/>
      <c r="D1553" s="19" t="n"/>
      <c r="E1553" s="20" t="n"/>
      <c r="F1553" s="20" t="n"/>
      <c r="G1553" s="19" t="n"/>
      <c r="H1553" s="21">
        <f>IF(A1553="","",YEAR(A1553)*100+MONTH(A1553))</f>
        <v/>
      </c>
    </row>
    <row r="1554">
      <c r="A1554" s="18" t="n"/>
      <c r="B1554" s="19" t="n"/>
      <c r="C1554" s="19" t="n"/>
      <c r="D1554" s="19" t="n"/>
      <c r="E1554" s="20" t="n"/>
      <c r="F1554" s="20" t="n"/>
      <c r="G1554" s="19" t="n"/>
      <c r="H1554" s="21">
        <f>IF(A1554="","",YEAR(A1554)*100+MONTH(A1554))</f>
        <v/>
      </c>
    </row>
    <row r="1555">
      <c r="A1555" s="18" t="n"/>
      <c r="B1555" s="19" t="n"/>
      <c r="C1555" s="19" t="n"/>
      <c r="D1555" s="19" t="n"/>
      <c r="E1555" s="20" t="n"/>
      <c r="F1555" s="20" t="n"/>
      <c r="G1555" s="19" t="n"/>
      <c r="H1555" s="21">
        <f>IF(A1555="","",YEAR(A1555)*100+MONTH(A1555))</f>
        <v/>
      </c>
    </row>
    <row r="1556">
      <c r="A1556" s="18" t="n"/>
      <c r="B1556" s="19" t="n"/>
      <c r="C1556" s="19" t="n"/>
      <c r="D1556" s="19" t="n"/>
      <c r="E1556" s="20" t="n"/>
      <c r="F1556" s="20" t="n"/>
      <c r="G1556" s="19" t="n"/>
      <c r="H1556" s="21">
        <f>IF(A1556="","",YEAR(A1556)*100+MONTH(A1556))</f>
        <v/>
      </c>
    </row>
    <row r="1557">
      <c r="A1557" s="18" t="n"/>
      <c r="B1557" s="19" t="n"/>
      <c r="C1557" s="19" t="n"/>
      <c r="D1557" s="19" t="n"/>
      <c r="E1557" s="20" t="n"/>
      <c r="F1557" s="20" t="n"/>
      <c r="G1557" s="19" t="n"/>
      <c r="H1557" s="21">
        <f>IF(A1557="","",YEAR(A1557)*100+MONTH(A1557))</f>
        <v/>
      </c>
    </row>
    <row r="1558">
      <c r="A1558" s="18" t="n"/>
      <c r="B1558" s="19" t="n"/>
      <c r="C1558" s="19" t="n"/>
      <c r="D1558" s="19" t="n"/>
      <c r="E1558" s="20" t="n"/>
      <c r="F1558" s="20" t="n"/>
      <c r="G1558" s="19" t="n"/>
      <c r="H1558" s="21">
        <f>IF(A1558="","",YEAR(A1558)*100+MONTH(A1558))</f>
        <v/>
      </c>
    </row>
    <row r="1559">
      <c r="A1559" s="18" t="n"/>
      <c r="B1559" s="19" t="n"/>
      <c r="C1559" s="19" t="n"/>
      <c r="D1559" s="19" t="n"/>
      <c r="E1559" s="20" t="n"/>
      <c r="F1559" s="20" t="n"/>
      <c r="G1559" s="19" t="n"/>
      <c r="H1559" s="21">
        <f>IF(A1559="","",YEAR(A1559)*100+MONTH(A1559))</f>
        <v/>
      </c>
    </row>
    <row r="1560">
      <c r="A1560" s="18" t="n"/>
      <c r="B1560" s="19" t="n"/>
      <c r="C1560" s="19" t="n"/>
      <c r="D1560" s="19" t="n"/>
      <c r="E1560" s="20" t="n"/>
      <c r="F1560" s="20" t="n"/>
      <c r="G1560" s="19" t="n"/>
      <c r="H1560" s="21">
        <f>IF(A1560="","",YEAR(A1560)*100+MONTH(A1560))</f>
        <v/>
      </c>
    </row>
    <row r="1561">
      <c r="A1561" s="18" t="n"/>
      <c r="B1561" s="19" t="n"/>
      <c r="C1561" s="19" t="n"/>
      <c r="D1561" s="19" t="n"/>
      <c r="E1561" s="20" t="n"/>
      <c r="F1561" s="20" t="n"/>
      <c r="G1561" s="19" t="n"/>
      <c r="H1561" s="21">
        <f>IF(A1561="","",YEAR(A1561)*100+MONTH(A1561))</f>
        <v/>
      </c>
    </row>
    <row r="1562">
      <c r="A1562" s="18" t="n"/>
      <c r="B1562" s="19" t="n"/>
      <c r="C1562" s="19" t="n"/>
      <c r="D1562" s="19" t="n"/>
      <c r="E1562" s="20" t="n"/>
      <c r="F1562" s="20" t="n"/>
      <c r="G1562" s="19" t="n"/>
      <c r="H1562" s="21">
        <f>IF(A1562="","",YEAR(A1562)*100+MONTH(A1562))</f>
        <v/>
      </c>
    </row>
    <row r="1563">
      <c r="A1563" s="18" t="n"/>
      <c r="B1563" s="19" t="n"/>
      <c r="C1563" s="19" t="n"/>
      <c r="D1563" s="19" t="n"/>
      <c r="E1563" s="20" t="n"/>
      <c r="F1563" s="20" t="n"/>
      <c r="G1563" s="19" t="n"/>
      <c r="H1563" s="21">
        <f>IF(A1563="","",YEAR(A1563)*100+MONTH(A1563))</f>
        <v/>
      </c>
    </row>
    <row r="1564">
      <c r="A1564" s="18" t="n"/>
      <c r="B1564" s="19" t="n"/>
      <c r="C1564" s="19" t="n"/>
      <c r="D1564" s="19" t="n"/>
      <c r="E1564" s="20" t="n"/>
      <c r="F1564" s="20" t="n"/>
      <c r="G1564" s="19" t="n"/>
      <c r="H1564" s="21">
        <f>IF(A1564="","",YEAR(A1564)*100+MONTH(A1564))</f>
        <v/>
      </c>
    </row>
    <row r="1565">
      <c r="A1565" s="18" t="n"/>
      <c r="B1565" s="19" t="n"/>
      <c r="C1565" s="19" t="n"/>
      <c r="D1565" s="19" t="n"/>
      <c r="E1565" s="20" t="n"/>
      <c r="F1565" s="20" t="n"/>
      <c r="G1565" s="19" t="n"/>
      <c r="H1565" s="21">
        <f>IF(A1565="","",YEAR(A1565)*100+MONTH(A1565))</f>
        <v/>
      </c>
    </row>
    <row r="1566">
      <c r="A1566" s="18" t="n"/>
      <c r="B1566" s="19" t="n"/>
      <c r="C1566" s="19" t="n"/>
      <c r="D1566" s="19" t="n"/>
      <c r="E1566" s="20" t="n"/>
      <c r="F1566" s="20" t="n"/>
      <c r="G1566" s="19" t="n"/>
      <c r="H1566" s="21">
        <f>IF(A1566="","",YEAR(A1566)*100+MONTH(A1566))</f>
        <v/>
      </c>
    </row>
    <row r="1567">
      <c r="A1567" s="18" t="n"/>
      <c r="B1567" s="19" t="n"/>
      <c r="C1567" s="19" t="n"/>
      <c r="D1567" s="19" t="n"/>
      <c r="E1567" s="20" t="n"/>
      <c r="F1567" s="20" t="n"/>
      <c r="G1567" s="19" t="n"/>
      <c r="H1567" s="21">
        <f>IF(A1567="","",YEAR(A1567)*100+MONTH(A1567))</f>
        <v/>
      </c>
    </row>
    <row r="1568">
      <c r="A1568" s="18" t="n"/>
      <c r="B1568" s="19" t="n"/>
      <c r="C1568" s="19" t="n"/>
      <c r="D1568" s="19" t="n"/>
      <c r="E1568" s="20" t="n"/>
      <c r="F1568" s="20" t="n"/>
      <c r="G1568" s="19" t="n"/>
      <c r="H1568" s="21">
        <f>IF(A1568="","",YEAR(A1568)*100+MONTH(A1568))</f>
        <v/>
      </c>
    </row>
    <row r="1569">
      <c r="A1569" s="18" t="n"/>
      <c r="B1569" s="19" t="n"/>
      <c r="C1569" s="19" t="n"/>
      <c r="D1569" s="19" t="n"/>
      <c r="E1569" s="20" t="n"/>
      <c r="F1569" s="20" t="n"/>
      <c r="G1569" s="19" t="n"/>
      <c r="H1569" s="21">
        <f>IF(A1569="","",YEAR(A1569)*100+MONTH(A1569))</f>
        <v/>
      </c>
    </row>
    <row r="1570">
      <c r="A1570" s="18" t="n"/>
      <c r="B1570" s="19" t="n"/>
      <c r="C1570" s="19" t="n"/>
      <c r="D1570" s="19" t="n"/>
      <c r="E1570" s="20" t="n"/>
      <c r="F1570" s="20" t="n"/>
      <c r="G1570" s="19" t="n"/>
      <c r="H1570" s="21">
        <f>IF(A1570="","",YEAR(A1570)*100+MONTH(A1570))</f>
        <v/>
      </c>
    </row>
    <row r="1571">
      <c r="A1571" s="18" t="n"/>
      <c r="B1571" s="19" t="n"/>
      <c r="C1571" s="19" t="n"/>
      <c r="D1571" s="19" t="n"/>
      <c r="E1571" s="20" t="n"/>
      <c r="F1571" s="20" t="n"/>
      <c r="G1571" s="19" t="n"/>
      <c r="H1571" s="21">
        <f>IF(A1571="","",YEAR(A1571)*100+MONTH(A1571))</f>
        <v/>
      </c>
    </row>
    <row r="1572">
      <c r="A1572" s="18" t="n"/>
      <c r="B1572" s="19" t="n"/>
      <c r="C1572" s="19" t="n"/>
      <c r="D1572" s="19" t="n"/>
      <c r="E1572" s="20" t="n"/>
      <c r="F1572" s="20" t="n"/>
      <c r="G1572" s="19" t="n"/>
      <c r="H1572" s="21">
        <f>IF(A1572="","",YEAR(A1572)*100+MONTH(A1572))</f>
        <v/>
      </c>
    </row>
    <row r="1573">
      <c r="A1573" s="18" t="n"/>
      <c r="B1573" s="19" t="n"/>
      <c r="C1573" s="19" t="n"/>
      <c r="D1573" s="19" t="n"/>
      <c r="E1573" s="20" t="n"/>
      <c r="F1573" s="20" t="n"/>
      <c r="G1573" s="19" t="n"/>
      <c r="H1573" s="21">
        <f>IF(A1573="","",YEAR(A1573)*100+MONTH(A1573))</f>
        <v/>
      </c>
    </row>
    <row r="1574">
      <c r="A1574" s="18" t="n"/>
      <c r="B1574" s="19" t="n"/>
      <c r="C1574" s="19" t="n"/>
      <c r="D1574" s="19" t="n"/>
      <c r="E1574" s="20" t="n"/>
      <c r="F1574" s="20" t="n"/>
      <c r="G1574" s="19" t="n"/>
      <c r="H1574" s="21">
        <f>IF(A1574="","",YEAR(A1574)*100+MONTH(A1574))</f>
        <v/>
      </c>
    </row>
    <row r="1575">
      <c r="A1575" s="18" t="n"/>
      <c r="B1575" s="19" t="n"/>
      <c r="C1575" s="19" t="n"/>
      <c r="D1575" s="19" t="n"/>
      <c r="E1575" s="20" t="n"/>
      <c r="F1575" s="20" t="n"/>
      <c r="G1575" s="19" t="n"/>
      <c r="H1575" s="21">
        <f>IF(A1575="","",YEAR(A1575)*100+MONTH(A1575))</f>
        <v/>
      </c>
    </row>
    <row r="1576">
      <c r="A1576" s="18" t="n"/>
      <c r="B1576" s="19" t="n"/>
      <c r="C1576" s="19" t="n"/>
      <c r="D1576" s="19" t="n"/>
      <c r="E1576" s="20" t="n"/>
      <c r="F1576" s="20" t="n"/>
      <c r="G1576" s="19" t="n"/>
      <c r="H1576" s="21">
        <f>IF(A1576="","",YEAR(A1576)*100+MONTH(A1576))</f>
        <v/>
      </c>
    </row>
    <row r="1577">
      <c r="A1577" s="18" t="n"/>
      <c r="B1577" s="19" t="n"/>
      <c r="C1577" s="19" t="n"/>
      <c r="D1577" s="19" t="n"/>
      <c r="E1577" s="20" t="n"/>
      <c r="F1577" s="20" t="n"/>
      <c r="G1577" s="19" t="n"/>
      <c r="H1577" s="21">
        <f>IF(A1577="","",YEAR(A1577)*100+MONTH(A1577))</f>
        <v/>
      </c>
    </row>
    <row r="1578">
      <c r="A1578" s="18" t="n"/>
      <c r="B1578" s="19" t="n"/>
      <c r="C1578" s="19" t="n"/>
      <c r="D1578" s="19" t="n"/>
      <c r="E1578" s="20" t="n"/>
      <c r="F1578" s="20" t="n"/>
      <c r="G1578" s="19" t="n"/>
      <c r="H1578" s="21">
        <f>IF(A1578="","",YEAR(A1578)*100+MONTH(A1578))</f>
        <v/>
      </c>
    </row>
    <row r="1579">
      <c r="A1579" s="18" t="n"/>
      <c r="B1579" s="19" t="n"/>
      <c r="C1579" s="19" t="n"/>
      <c r="D1579" s="19" t="n"/>
      <c r="E1579" s="20" t="n"/>
      <c r="F1579" s="20" t="n"/>
      <c r="G1579" s="19" t="n"/>
      <c r="H1579" s="21">
        <f>IF(A1579="","",YEAR(A1579)*100+MONTH(A1579))</f>
        <v/>
      </c>
    </row>
    <row r="1580">
      <c r="A1580" s="18" t="n"/>
      <c r="B1580" s="19" t="n"/>
      <c r="C1580" s="19" t="n"/>
      <c r="D1580" s="19" t="n"/>
      <c r="E1580" s="20" t="n"/>
      <c r="F1580" s="20" t="n"/>
      <c r="G1580" s="19" t="n"/>
      <c r="H1580" s="21">
        <f>IF(A1580="","",YEAR(A1580)*100+MONTH(A1580))</f>
        <v/>
      </c>
    </row>
    <row r="1581">
      <c r="A1581" s="18" t="n"/>
      <c r="B1581" s="19" t="n"/>
      <c r="C1581" s="19" t="n"/>
      <c r="D1581" s="19" t="n"/>
      <c r="E1581" s="20" t="n"/>
      <c r="F1581" s="20" t="n"/>
      <c r="G1581" s="19" t="n"/>
      <c r="H1581" s="21">
        <f>IF(A1581="","",YEAR(A1581)*100+MONTH(A1581))</f>
        <v/>
      </c>
    </row>
    <row r="1582">
      <c r="A1582" s="18" t="n"/>
      <c r="B1582" s="19" t="n"/>
      <c r="C1582" s="19" t="n"/>
      <c r="D1582" s="19" t="n"/>
      <c r="E1582" s="20" t="n"/>
      <c r="F1582" s="20" t="n"/>
      <c r="G1582" s="19" t="n"/>
      <c r="H1582" s="21">
        <f>IF(A1582="","",YEAR(A1582)*100+MONTH(A1582))</f>
        <v/>
      </c>
    </row>
    <row r="1583">
      <c r="A1583" s="18" t="n"/>
      <c r="B1583" s="19" t="n"/>
      <c r="C1583" s="19" t="n"/>
      <c r="D1583" s="19" t="n"/>
      <c r="E1583" s="20" t="n"/>
      <c r="F1583" s="20" t="n"/>
      <c r="G1583" s="19" t="n"/>
      <c r="H1583" s="21">
        <f>IF(A1583="","",YEAR(A1583)*100+MONTH(A1583))</f>
        <v/>
      </c>
    </row>
    <row r="1584">
      <c r="A1584" s="18" t="n"/>
      <c r="B1584" s="19" t="n"/>
      <c r="C1584" s="19" t="n"/>
      <c r="D1584" s="19" t="n"/>
      <c r="E1584" s="20" t="n"/>
      <c r="F1584" s="20" t="n"/>
      <c r="G1584" s="19" t="n"/>
      <c r="H1584" s="21">
        <f>IF(A1584="","",YEAR(A1584)*100+MONTH(A1584))</f>
        <v/>
      </c>
    </row>
    <row r="1585">
      <c r="A1585" s="18" t="n"/>
      <c r="B1585" s="19" t="n"/>
      <c r="C1585" s="19" t="n"/>
      <c r="D1585" s="19" t="n"/>
      <c r="E1585" s="20" t="n"/>
      <c r="F1585" s="20" t="n"/>
      <c r="G1585" s="19" t="n"/>
      <c r="H1585" s="21">
        <f>IF(A1585="","",YEAR(A1585)*100+MONTH(A1585))</f>
        <v/>
      </c>
    </row>
    <row r="1586">
      <c r="A1586" s="18" t="n"/>
      <c r="B1586" s="19" t="n"/>
      <c r="C1586" s="19" t="n"/>
      <c r="D1586" s="19" t="n"/>
      <c r="E1586" s="20" t="n"/>
      <c r="F1586" s="20" t="n"/>
      <c r="G1586" s="19" t="n"/>
      <c r="H1586" s="21">
        <f>IF(A1586="","",YEAR(A1586)*100+MONTH(A1586))</f>
        <v/>
      </c>
    </row>
    <row r="1587">
      <c r="A1587" s="18" t="n"/>
      <c r="B1587" s="19" t="n"/>
      <c r="C1587" s="19" t="n"/>
      <c r="D1587" s="19" t="n"/>
      <c r="E1587" s="20" t="n"/>
      <c r="F1587" s="20" t="n"/>
      <c r="G1587" s="19" t="n"/>
      <c r="H1587" s="21">
        <f>IF(A1587="","",YEAR(A1587)*100+MONTH(A1587))</f>
        <v/>
      </c>
    </row>
    <row r="1588">
      <c r="A1588" s="18" t="n"/>
      <c r="B1588" s="19" t="n"/>
      <c r="C1588" s="19" t="n"/>
      <c r="D1588" s="19" t="n"/>
      <c r="E1588" s="20" t="n"/>
      <c r="F1588" s="20" t="n"/>
      <c r="G1588" s="19" t="n"/>
      <c r="H1588" s="21">
        <f>IF(A1588="","",YEAR(A1588)*100+MONTH(A1588))</f>
        <v/>
      </c>
    </row>
    <row r="1589">
      <c r="A1589" s="18" t="n"/>
      <c r="B1589" s="19" t="n"/>
      <c r="C1589" s="19" t="n"/>
      <c r="D1589" s="19" t="n"/>
      <c r="E1589" s="20" t="n"/>
      <c r="F1589" s="20" t="n"/>
      <c r="G1589" s="19" t="n"/>
      <c r="H1589" s="21">
        <f>IF(A1589="","",YEAR(A1589)*100+MONTH(A1589))</f>
        <v/>
      </c>
    </row>
    <row r="1590">
      <c r="A1590" s="18" t="n"/>
      <c r="B1590" s="19" t="n"/>
      <c r="C1590" s="19" t="n"/>
      <c r="D1590" s="19" t="n"/>
      <c r="E1590" s="20" t="n"/>
      <c r="F1590" s="20" t="n"/>
      <c r="G1590" s="19" t="n"/>
      <c r="H1590" s="21">
        <f>IF(A1590="","",YEAR(A1590)*100+MONTH(A1590))</f>
        <v/>
      </c>
    </row>
    <row r="1591">
      <c r="A1591" s="18" t="n"/>
      <c r="B1591" s="19" t="n"/>
      <c r="C1591" s="19" t="n"/>
      <c r="D1591" s="19" t="n"/>
      <c r="E1591" s="20" t="n"/>
      <c r="F1591" s="20" t="n"/>
      <c r="G1591" s="19" t="n"/>
      <c r="H1591" s="21">
        <f>IF(A1591="","",YEAR(A1591)*100+MONTH(A1591))</f>
        <v/>
      </c>
    </row>
    <row r="1592">
      <c r="A1592" s="18" t="n"/>
      <c r="B1592" s="19" t="n"/>
      <c r="C1592" s="19" t="n"/>
      <c r="D1592" s="19" t="n"/>
      <c r="E1592" s="20" t="n"/>
      <c r="F1592" s="20" t="n"/>
      <c r="G1592" s="19" t="n"/>
      <c r="H1592" s="21">
        <f>IF(A1592="","",YEAR(A1592)*100+MONTH(A1592))</f>
        <v/>
      </c>
    </row>
    <row r="1593">
      <c r="A1593" s="18" t="n"/>
      <c r="B1593" s="19" t="n"/>
      <c r="C1593" s="19" t="n"/>
      <c r="D1593" s="19" t="n"/>
      <c r="E1593" s="20" t="n"/>
      <c r="F1593" s="20" t="n"/>
      <c r="G1593" s="19" t="n"/>
      <c r="H1593" s="21">
        <f>IF(A1593="","",YEAR(A1593)*100+MONTH(A1593))</f>
        <v/>
      </c>
    </row>
    <row r="1594">
      <c r="A1594" s="18" t="n"/>
      <c r="B1594" s="19" t="n"/>
      <c r="C1594" s="19" t="n"/>
      <c r="D1594" s="19" t="n"/>
      <c r="E1594" s="20" t="n"/>
      <c r="F1594" s="20" t="n"/>
      <c r="G1594" s="19" t="n"/>
      <c r="H1594" s="21">
        <f>IF(A1594="","",YEAR(A1594)*100+MONTH(A1594))</f>
        <v/>
      </c>
    </row>
    <row r="1595">
      <c r="A1595" s="18" t="n"/>
      <c r="B1595" s="19" t="n"/>
      <c r="C1595" s="19" t="n"/>
      <c r="D1595" s="19" t="n"/>
      <c r="E1595" s="20" t="n"/>
      <c r="F1595" s="20" t="n"/>
      <c r="G1595" s="19" t="n"/>
      <c r="H1595" s="21">
        <f>IF(A1595="","",YEAR(A1595)*100+MONTH(A1595))</f>
        <v/>
      </c>
    </row>
    <row r="1596">
      <c r="A1596" s="18" t="n"/>
      <c r="B1596" s="19" t="n"/>
      <c r="C1596" s="19" t="n"/>
      <c r="D1596" s="19" t="n"/>
      <c r="E1596" s="20" t="n"/>
      <c r="F1596" s="20" t="n"/>
      <c r="G1596" s="19" t="n"/>
      <c r="H1596" s="21">
        <f>IF(A1596="","",YEAR(A1596)*100+MONTH(A1596))</f>
        <v/>
      </c>
    </row>
    <row r="1597">
      <c r="A1597" s="18" t="n"/>
      <c r="B1597" s="19" t="n"/>
      <c r="C1597" s="19" t="n"/>
      <c r="D1597" s="19" t="n"/>
      <c r="E1597" s="20" t="n"/>
      <c r="F1597" s="20" t="n"/>
      <c r="G1597" s="19" t="n"/>
      <c r="H1597" s="21">
        <f>IF(A1597="","",YEAR(A1597)*100+MONTH(A1597))</f>
        <v/>
      </c>
    </row>
    <row r="1598">
      <c r="A1598" s="18" t="n"/>
      <c r="B1598" s="19" t="n"/>
      <c r="C1598" s="19" t="n"/>
      <c r="D1598" s="19" t="n"/>
      <c r="E1598" s="20" t="n"/>
      <c r="F1598" s="20" t="n"/>
      <c r="G1598" s="19" t="n"/>
      <c r="H1598" s="21">
        <f>IF(A1598="","",YEAR(A1598)*100+MONTH(A1598))</f>
        <v/>
      </c>
    </row>
    <row r="1599">
      <c r="A1599" s="18" t="n"/>
      <c r="B1599" s="19" t="n"/>
      <c r="C1599" s="19" t="n"/>
      <c r="D1599" s="19" t="n"/>
      <c r="E1599" s="20" t="n"/>
      <c r="F1599" s="20" t="n"/>
      <c r="G1599" s="19" t="n"/>
      <c r="H1599" s="21">
        <f>IF(A1599="","",YEAR(A1599)*100+MONTH(A1599))</f>
        <v/>
      </c>
    </row>
    <row r="1600">
      <c r="A1600" s="18" t="n"/>
      <c r="B1600" s="19" t="n"/>
      <c r="C1600" s="19" t="n"/>
      <c r="D1600" s="19" t="n"/>
      <c r="E1600" s="20" t="n"/>
      <c r="F1600" s="20" t="n"/>
      <c r="G1600" s="19" t="n"/>
      <c r="H1600" s="21">
        <f>IF(A1600="","",YEAR(A1600)*100+MONTH(A1600))</f>
        <v/>
      </c>
    </row>
    <row r="1601">
      <c r="A1601" s="18" t="n"/>
      <c r="B1601" s="19" t="n"/>
      <c r="C1601" s="19" t="n"/>
      <c r="D1601" s="19" t="n"/>
      <c r="E1601" s="20" t="n"/>
      <c r="F1601" s="20" t="n"/>
      <c r="G1601" s="19" t="n"/>
      <c r="H1601" s="21">
        <f>IF(A1601="","",YEAR(A1601)*100+MONTH(A1601))</f>
        <v/>
      </c>
    </row>
    <row r="1602">
      <c r="A1602" s="18" t="n"/>
      <c r="B1602" s="19" t="n"/>
      <c r="C1602" s="19" t="n"/>
      <c r="D1602" s="19" t="n"/>
      <c r="E1602" s="20" t="n"/>
      <c r="F1602" s="20" t="n"/>
      <c r="G1602" s="19" t="n"/>
      <c r="H1602" s="21">
        <f>IF(A1602="","",YEAR(A1602)*100+MONTH(A1602))</f>
        <v/>
      </c>
    </row>
    <row r="1603">
      <c r="A1603" s="18" t="n"/>
      <c r="B1603" s="19" t="n"/>
      <c r="C1603" s="19" t="n"/>
      <c r="D1603" s="19" t="n"/>
      <c r="E1603" s="20" t="n"/>
      <c r="F1603" s="20" t="n"/>
      <c r="G1603" s="19" t="n"/>
      <c r="H1603" s="21">
        <f>IF(A1603="","",YEAR(A1603)*100+MONTH(A1603))</f>
        <v/>
      </c>
    </row>
    <row r="1604">
      <c r="A1604" s="18" t="n"/>
      <c r="B1604" s="19" t="n"/>
      <c r="C1604" s="19" t="n"/>
      <c r="D1604" s="19" t="n"/>
      <c r="E1604" s="20" t="n"/>
      <c r="F1604" s="20" t="n"/>
      <c r="G1604" s="19" t="n"/>
      <c r="H1604" s="21">
        <f>IF(A1604="","",YEAR(A1604)*100+MONTH(A1604))</f>
        <v/>
      </c>
    </row>
    <row r="1605">
      <c r="A1605" s="18" t="n"/>
      <c r="B1605" s="19" t="n"/>
      <c r="C1605" s="19" t="n"/>
      <c r="D1605" s="19" t="n"/>
      <c r="E1605" s="20" t="n"/>
      <c r="F1605" s="20" t="n"/>
      <c r="G1605" s="19" t="n"/>
      <c r="H1605" s="21">
        <f>IF(A1605="","",YEAR(A1605)*100+MONTH(A1605))</f>
        <v/>
      </c>
    </row>
    <row r="1606">
      <c r="A1606" s="18" t="n"/>
      <c r="B1606" s="19" t="n"/>
      <c r="C1606" s="19" t="n"/>
      <c r="D1606" s="19" t="n"/>
      <c r="E1606" s="20" t="n"/>
      <c r="F1606" s="20" t="n"/>
      <c r="G1606" s="19" t="n"/>
      <c r="H1606" s="21">
        <f>IF(A1606="","",YEAR(A1606)*100+MONTH(A1606))</f>
        <v/>
      </c>
    </row>
    <row r="1607">
      <c r="A1607" s="18" t="n"/>
      <c r="B1607" s="19" t="n"/>
      <c r="C1607" s="19" t="n"/>
      <c r="D1607" s="19" t="n"/>
      <c r="E1607" s="20" t="n"/>
      <c r="F1607" s="20" t="n"/>
      <c r="G1607" s="19" t="n"/>
      <c r="H1607" s="21">
        <f>IF(A1607="","",YEAR(A1607)*100+MONTH(A1607))</f>
        <v/>
      </c>
    </row>
    <row r="1608">
      <c r="A1608" s="18" t="n"/>
      <c r="B1608" s="19" t="n"/>
      <c r="C1608" s="19" t="n"/>
      <c r="D1608" s="19" t="n"/>
      <c r="E1608" s="20" t="n"/>
      <c r="F1608" s="20" t="n"/>
      <c r="G1608" s="19" t="n"/>
      <c r="H1608" s="21">
        <f>IF(A1608="","",YEAR(A1608)*100+MONTH(A1608))</f>
        <v/>
      </c>
    </row>
    <row r="1609">
      <c r="A1609" s="18" t="n"/>
      <c r="B1609" s="19" t="n"/>
      <c r="C1609" s="19" t="n"/>
      <c r="D1609" s="19" t="n"/>
      <c r="E1609" s="20" t="n"/>
      <c r="F1609" s="20" t="n"/>
      <c r="G1609" s="19" t="n"/>
      <c r="H1609" s="21">
        <f>IF(A1609="","",YEAR(A1609)*100+MONTH(A1609))</f>
        <v/>
      </c>
    </row>
    <row r="1610">
      <c r="A1610" s="18" t="n"/>
      <c r="B1610" s="19" t="n"/>
      <c r="C1610" s="19" t="n"/>
      <c r="D1610" s="19" t="n"/>
      <c r="E1610" s="20" t="n"/>
      <c r="F1610" s="20" t="n"/>
      <c r="G1610" s="19" t="n"/>
      <c r="H1610" s="21">
        <f>IF(A1610="","",YEAR(A1610)*100+MONTH(A1610))</f>
        <v/>
      </c>
    </row>
    <row r="1611">
      <c r="A1611" s="18" t="n"/>
      <c r="B1611" s="19" t="n"/>
      <c r="C1611" s="19" t="n"/>
      <c r="D1611" s="19" t="n"/>
      <c r="E1611" s="20" t="n"/>
      <c r="F1611" s="20" t="n"/>
      <c r="G1611" s="19" t="n"/>
      <c r="H1611" s="21">
        <f>IF(A1611="","",YEAR(A1611)*100+MONTH(A1611))</f>
        <v/>
      </c>
    </row>
    <row r="1612">
      <c r="A1612" s="18" t="n"/>
      <c r="B1612" s="19" t="n"/>
      <c r="C1612" s="19" t="n"/>
      <c r="D1612" s="19" t="n"/>
      <c r="E1612" s="20" t="n"/>
      <c r="F1612" s="20" t="n"/>
      <c r="G1612" s="19" t="n"/>
      <c r="H1612" s="21">
        <f>IF(A1612="","",YEAR(A1612)*100+MONTH(A1612))</f>
        <v/>
      </c>
    </row>
    <row r="1613">
      <c r="A1613" s="18" t="n"/>
      <c r="B1613" s="19" t="n"/>
      <c r="C1613" s="19" t="n"/>
      <c r="D1613" s="19" t="n"/>
      <c r="E1613" s="20" t="n"/>
      <c r="F1613" s="20" t="n"/>
      <c r="G1613" s="19" t="n"/>
      <c r="H1613" s="21">
        <f>IF(A1613="","",YEAR(A1613)*100+MONTH(A1613))</f>
        <v/>
      </c>
    </row>
    <row r="1614">
      <c r="A1614" s="18" t="n"/>
      <c r="B1614" s="19" t="n"/>
      <c r="C1614" s="19" t="n"/>
      <c r="D1614" s="19" t="n"/>
      <c r="E1614" s="20" t="n"/>
      <c r="F1614" s="20" t="n"/>
      <c r="G1614" s="19" t="n"/>
      <c r="H1614" s="21">
        <f>IF(A1614="","",YEAR(A1614)*100+MONTH(A1614))</f>
        <v/>
      </c>
    </row>
    <row r="1615">
      <c r="A1615" s="18" t="n"/>
      <c r="B1615" s="19" t="n"/>
      <c r="C1615" s="19" t="n"/>
      <c r="D1615" s="19" t="n"/>
      <c r="E1615" s="20" t="n"/>
      <c r="F1615" s="20" t="n"/>
      <c r="G1615" s="19" t="n"/>
      <c r="H1615" s="21">
        <f>IF(A1615="","",YEAR(A1615)*100+MONTH(A1615))</f>
        <v/>
      </c>
    </row>
    <row r="1616">
      <c r="A1616" s="18" t="n"/>
      <c r="B1616" s="19" t="n"/>
      <c r="C1616" s="19" t="n"/>
      <c r="D1616" s="19" t="n"/>
      <c r="E1616" s="20" t="n"/>
      <c r="F1616" s="20" t="n"/>
      <c r="G1616" s="19" t="n"/>
      <c r="H1616" s="21">
        <f>IF(A1616="","",YEAR(A1616)*100+MONTH(A1616))</f>
        <v/>
      </c>
    </row>
    <row r="1617">
      <c r="A1617" s="18" t="n"/>
      <c r="B1617" s="19" t="n"/>
      <c r="C1617" s="19" t="n"/>
      <c r="D1617" s="19" t="n"/>
      <c r="E1617" s="20" t="n"/>
      <c r="F1617" s="20" t="n"/>
      <c r="G1617" s="19" t="n"/>
      <c r="H1617" s="21">
        <f>IF(A1617="","",YEAR(A1617)*100+MONTH(A1617))</f>
        <v/>
      </c>
    </row>
    <row r="1618">
      <c r="A1618" s="18" t="n"/>
      <c r="B1618" s="19" t="n"/>
      <c r="C1618" s="19" t="n"/>
      <c r="D1618" s="19" t="n"/>
      <c r="E1618" s="20" t="n"/>
      <c r="F1618" s="20" t="n"/>
      <c r="G1618" s="19" t="n"/>
      <c r="H1618" s="21">
        <f>IF(A1618="","",YEAR(A1618)*100+MONTH(A1618))</f>
        <v/>
      </c>
    </row>
    <row r="1619">
      <c r="A1619" s="18" t="n"/>
      <c r="B1619" s="19" t="n"/>
      <c r="C1619" s="19" t="n"/>
      <c r="D1619" s="19" t="n"/>
      <c r="E1619" s="20" t="n"/>
      <c r="F1619" s="20" t="n"/>
      <c r="G1619" s="19" t="n"/>
      <c r="H1619" s="21">
        <f>IF(A1619="","",YEAR(A1619)*100+MONTH(A1619))</f>
        <v/>
      </c>
    </row>
    <row r="1620">
      <c r="A1620" s="18" t="n"/>
      <c r="B1620" s="19" t="n"/>
      <c r="C1620" s="19" t="n"/>
      <c r="D1620" s="19" t="n"/>
      <c r="E1620" s="20" t="n"/>
      <c r="F1620" s="20" t="n"/>
      <c r="G1620" s="19" t="n"/>
      <c r="H1620" s="21">
        <f>IF(A1620="","",YEAR(A1620)*100+MONTH(A1620))</f>
        <v/>
      </c>
    </row>
    <row r="1621">
      <c r="A1621" s="18" t="n"/>
      <c r="B1621" s="19" t="n"/>
      <c r="C1621" s="19" t="n"/>
      <c r="D1621" s="19" t="n"/>
      <c r="E1621" s="20" t="n"/>
      <c r="F1621" s="20" t="n"/>
      <c r="G1621" s="19" t="n"/>
      <c r="H1621" s="21">
        <f>IF(A1621="","",YEAR(A1621)*100+MONTH(A1621))</f>
        <v/>
      </c>
    </row>
    <row r="1622">
      <c r="A1622" s="18" t="n"/>
      <c r="B1622" s="19" t="n"/>
      <c r="C1622" s="19" t="n"/>
      <c r="D1622" s="19" t="n"/>
      <c r="E1622" s="20" t="n"/>
      <c r="F1622" s="20" t="n"/>
      <c r="G1622" s="19" t="n"/>
      <c r="H1622" s="21">
        <f>IF(A1622="","",YEAR(A1622)*100+MONTH(A1622))</f>
        <v/>
      </c>
    </row>
    <row r="1623">
      <c r="A1623" s="18" t="n"/>
      <c r="B1623" s="19" t="n"/>
      <c r="C1623" s="19" t="n"/>
      <c r="D1623" s="19" t="n"/>
      <c r="E1623" s="20" t="n"/>
      <c r="F1623" s="20" t="n"/>
      <c r="G1623" s="19" t="n"/>
      <c r="H1623" s="21">
        <f>IF(A1623="","",YEAR(A1623)*100+MONTH(A1623))</f>
        <v/>
      </c>
    </row>
    <row r="1624">
      <c r="A1624" s="18" t="n"/>
      <c r="B1624" s="19" t="n"/>
      <c r="C1624" s="19" t="n"/>
      <c r="D1624" s="19" t="n"/>
      <c r="E1624" s="20" t="n"/>
      <c r="F1624" s="20" t="n"/>
      <c r="G1624" s="19" t="n"/>
      <c r="H1624" s="21">
        <f>IF(A1624="","",YEAR(A1624)*100+MONTH(A1624))</f>
        <v/>
      </c>
    </row>
    <row r="1625">
      <c r="A1625" s="18" t="n"/>
      <c r="B1625" s="19" t="n"/>
      <c r="C1625" s="19" t="n"/>
      <c r="D1625" s="19" t="n"/>
      <c r="E1625" s="20" t="n"/>
      <c r="F1625" s="20" t="n"/>
      <c r="G1625" s="19" t="n"/>
      <c r="H1625" s="21">
        <f>IF(A1625="","",YEAR(A1625)*100+MONTH(A1625))</f>
        <v/>
      </c>
    </row>
    <row r="1626">
      <c r="A1626" s="18" t="n"/>
      <c r="B1626" s="19" t="n"/>
      <c r="C1626" s="19" t="n"/>
      <c r="D1626" s="19" t="n"/>
      <c r="E1626" s="20" t="n"/>
      <c r="F1626" s="20" t="n"/>
      <c r="G1626" s="19" t="n"/>
      <c r="H1626" s="21">
        <f>IF(A1626="","",YEAR(A1626)*100+MONTH(A1626))</f>
        <v/>
      </c>
    </row>
    <row r="1627">
      <c r="A1627" s="18" t="n"/>
      <c r="B1627" s="19" t="n"/>
      <c r="C1627" s="19" t="n"/>
      <c r="D1627" s="19" t="n"/>
      <c r="E1627" s="20" t="n"/>
      <c r="F1627" s="20" t="n"/>
      <c r="G1627" s="19" t="n"/>
      <c r="H1627" s="21">
        <f>IF(A1627="","",YEAR(A1627)*100+MONTH(A1627))</f>
        <v/>
      </c>
    </row>
    <row r="1628">
      <c r="A1628" s="18" t="n"/>
      <c r="B1628" s="19" t="n"/>
      <c r="C1628" s="19" t="n"/>
      <c r="D1628" s="19" t="n"/>
      <c r="E1628" s="20" t="n"/>
      <c r="F1628" s="20" t="n"/>
      <c r="G1628" s="19" t="n"/>
      <c r="H1628" s="21">
        <f>IF(A1628="","",YEAR(A1628)*100+MONTH(A1628))</f>
        <v/>
      </c>
    </row>
    <row r="1629">
      <c r="A1629" s="18" t="n"/>
      <c r="B1629" s="19" t="n"/>
      <c r="C1629" s="19" t="n"/>
      <c r="D1629" s="19" t="n"/>
      <c r="E1629" s="20" t="n"/>
      <c r="F1629" s="20" t="n"/>
      <c r="G1629" s="19" t="n"/>
      <c r="H1629" s="21">
        <f>IF(A1629="","",YEAR(A1629)*100+MONTH(A1629))</f>
        <v/>
      </c>
    </row>
    <row r="1630">
      <c r="A1630" s="18" t="n"/>
      <c r="B1630" s="19" t="n"/>
      <c r="C1630" s="19" t="n"/>
      <c r="D1630" s="19" t="n"/>
      <c r="E1630" s="20" t="n"/>
      <c r="F1630" s="20" t="n"/>
      <c r="G1630" s="19" t="n"/>
      <c r="H1630" s="21">
        <f>IF(A1630="","",YEAR(A1630)*100+MONTH(A1630))</f>
        <v/>
      </c>
    </row>
    <row r="1631">
      <c r="A1631" s="18" t="n"/>
      <c r="B1631" s="19" t="n"/>
      <c r="C1631" s="19" t="n"/>
      <c r="D1631" s="19" t="n"/>
      <c r="E1631" s="20" t="n"/>
      <c r="F1631" s="20" t="n"/>
      <c r="G1631" s="19" t="n"/>
      <c r="H1631" s="21">
        <f>IF(A1631="","",YEAR(A1631)*100+MONTH(A1631))</f>
        <v/>
      </c>
    </row>
    <row r="1632">
      <c r="A1632" s="18" t="n"/>
      <c r="B1632" s="19" t="n"/>
      <c r="C1632" s="19" t="n"/>
      <c r="D1632" s="19" t="n"/>
      <c r="E1632" s="20" t="n"/>
      <c r="F1632" s="20" t="n"/>
      <c r="G1632" s="19" t="n"/>
      <c r="H1632" s="21">
        <f>IF(A1632="","",YEAR(A1632)*100+MONTH(A1632))</f>
        <v/>
      </c>
    </row>
    <row r="1633">
      <c r="A1633" s="18" t="n"/>
      <c r="B1633" s="19" t="n"/>
      <c r="C1633" s="19" t="n"/>
      <c r="D1633" s="19" t="n"/>
      <c r="E1633" s="20" t="n"/>
      <c r="F1633" s="20" t="n"/>
      <c r="G1633" s="19" t="n"/>
      <c r="H1633" s="21">
        <f>IF(A1633="","",YEAR(A1633)*100+MONTH(A1633))</f>
        <v/>
      </c>
    </row>
    <row r="1634">
      <c r="A1634" s="18" t="n"/>
      <c r="B1634" s="19" t="n"/>
      <c r="C1634" s="19" t="n"/>
      <c r="D1634" s="19" t="n"/>
      <c r="E1634" s="20" t="n"/>
      <c r="F1634" s="20" t="n"/>
      <c r="G1634" s="19" t="n"/>
      <c r="H1634" s="21">
        <f>IF(A1634="","",YEAR(A1634)*100+MONTH(A1634))</f>
        <v/>
      </c>
    </row>
    <row r="1635">
      <c r="A1635" s="18" t="n"/>
      <c r="B1635" s="19" t="n"/>
      <c r="C1635" s="19" t="n"/>
      <c r="D1635" s="19" t="n"/>
      <c r="E1635" s="20" t="n"/>
      <c r="F1635" s="20" t="n"/>
      <c r="G1635" s="19" t="n"/>
      <c r="H1635" s="21">
        <f>IF(A1635="","",YEAR(A1635)*100+MONTH(A1635))</f>
        <v/>
      </c>
    </row>
    <row r="1636">
      <c r="A1636" s="18" t="n"/>
      <c r="B1636" s="19" t="n"/>
      <c r="C1636" s="19" t="n"/>
      <c r="D1636" s="19" t="n"/>
      <c r="E1636" s="20" t="n"/>
      <c r="F1636" s="20" t="n"/>
      <c r="G1636" s="19" t="n"/>
      <c r="H1636" s="21">
        <f>IF(A1636="","",YEAR(A1636)*100+MONTH(A1636))</f>
        <v/>
      </c>
    </row>
    <row r="1637">
      <c r="A1637" s="18" t="n"/>
      <c r="B1637" s="19" t="n"/>
      <c r="C1637" s="19" t="n"/>
      <c r="D1637" s="19" t="n"/>
      <c r="E1637" s="20" t="n"/>
      <c r="F1637" s="20" t="n"/>
      <c r="G1637" s="19" t="n"/>
      <c r="H1637" s="21">
        <f>IF(A1637="","",YEAR(A1637)*100+MONTH(A1637))</f>
        <v/>
      </c>
    </row>
    <row r="1638">
      <c r="A1638" s="18" t="n"/>
      <c r="B1638" s="19" t="n"/>
      <c r="C1638" s="19" t="n"/>
      <c r="D1638" s="19" t="n"/>
      <c r="E1638" s="20" t="n"/>
      <c r="F1638" s="20" t="n"/>
      <c r="G1638" s="19" t="n"/>
      <c r="H1638" s="21">
        <f>IF(A1638="","",YEAR(A1638)*100+MONTH(A1638))</f>
        <v/>
      </c>
    </row>
    <row r="1639">
      <c r="A1639" s="18" t="n"/>
      <c r="B1639" s="19" t="n"/>
      <c r="C1639" s="19" t="n"/>
      <c r="D1639" s="19" t="n"/>
      <c r="E1639" s="20" t="n"/>
      <c r="F1639" s="20" t="n"/>
      <c r="G1639" s="19" t="n"/>
      <c r="H1639" s="21">
        <f>IF(A1639="","",YEAR(A1639)*100+MONTH(A1639))</f>
        <v/>
      </c>
    </row>
    <row r="1640">
      <c r="A1640" s="18" t="n"/>
      <c r="B1640" s="19" t="n"/>
      <c r="C1640" s="19" t="n"/>
      <c r="D1640" s="19" t="n"/>
      <c r="E1640" s="20" t="n"/>
      <c r="F1640" s="20" t="n"/>
      <c r="G1640" s="19" t="n"/>
      <c r="H1640" s="21">
        <f>IF(A1640="","",YEAR(A1640)*100+MONTH(A1640))</f>
        <v/>
      </c>
    </row>
    <row r="1641">
      <c r="A1641" s="18" t="n"/>
      <c r="B1641" s="19" t="n"/>
      <c r="C1641" s="19" t="n"/>
      <c r="D1641" s="19" t="n"/>
      <c r="E1641" s="20" t="n"/>
      <c r="F1641" s="20" t="n"/>
      <c r="G1641" s="19" t="n"/>
      <c r="H1641" s="21">
        <f>IF(A1641="","",YEAR(A1641)*100+MONTH(A1641))</f>
        <v/>
      </c>
    </row>
    <row r="1642">
      <c r="A1642" s="18" t="n"/>
      <c r="B1642" s="19" t="n"/>
      <c r="C1642" s="19" t="n"/>
      <c r="D1642" s="19" t="n"/>
      <c r="E1642" s="20" t="n"/>
      <c r="F1642" s="20" t="n"/>
      <c r="G1642" s="19" t="n"/>
      <c r="H1642" s="21">
        <f>IF(A1642="","",YEAR(A1642)*100+MONTH(A1642))</f>
        <v/>
      </c>
    </row>
    <row r="1643">
      <c r="A1643" s="18" t="n"/>
      <c r="B1643" s="19" t="n"/>
      <c r="C1643" s="19" t="n"/>
      <c r="D1643" s="19" t="n"/>
      <c r="E1643" s="20" t="n"/>
      <c r="F1643" s="20" t="n"/>
      <c r="G1643" s="19" t="n"/>
      <c r="H1643" s="21">
        <f>IF(A1643="","",YEAR(A1643)*100+MONTH(A1643))</f>
        <v/>
      </c>
    </row>
    <row r="1644">
      <c r="A1644" s="18" t="n"/>
      <c r="B1644" s="19" t="n"/>
      <c r="C1644" s="19" t="n"/>
      <c r="D1644" s="19" t="n"/>
      <c r="E1644" s="20" t="n"/>
      <c r="F1644" s="20" t="n"/>
      <c r="G1644" s="19" t="n"/>
      <c r="H1644" s="21">
        <f>IF(A1644="","",YEAR(A1644)*100+MONTH(A1644))</f>
        <v/>
      </c>
    </row>
    <row r="1645">
      <c r="A1645" s="18" t="n"/>
      <c r="B1645" s="19" t="n"/>
      <c r="C1645" s="19" t="n"/>
      <c r="D1645" s="19" t="n"/>
      <c r="E1645" s="20" t="n"/>
      <c r="F1645" s="20" t="n"/>
      <c r="G1645" s="19" t="n"/>
      <c r="H1645" s="21">
        <f>IF(A1645="","",YEAR(A1645)*100+MONTH(A1645))</f>
        <v/>
      </c>
    </row>
    <row r="1646">
      <c r="A1646" s="18" t="n"/>
      <c r="B1646" s="19" t="n"/>
      <c r="C1646" s="19" t="n"/>
      <c r="D1646" s="19" t="n"/>
      <c r="E1646" s="20" t="n"/>
      <c r="F1646" s="20" t="n"/>
      <c r="G1646" s="19" t="n"/>
      <c r="H1646" s="21">
        <f>IF(A1646="","",YEAR(A1646)*100+MONTH(A1646))</f>
        <v/>
      </c>
    </row>
    <row r="1647">
      <c r="A1647" s="18" t="n"/>
      <c r="B1647" s="19" t="n"/>
      <c r="C1647" s="19" t="n"/>
      <c r="D1647" s="19" t="n"/>
      <c r="E1647" s="20" t="n"/>
      <c r="F1647" s="20" t="n"/>
      <c r="G1647" s="19" t="n"/>
      <c r="H1647" s="21">
        <f>IF(A1647="","",YEAR(A1647)*100+MONTH(A1647))</f>
        <v/>
      </c>
    </row>
    <row r="1648">
      <c r="A1648" s="18" t="n"/>
      <c r="B1648" s="19" t="n"/>
      <c r="C1648" s="19" t="n"/>
      <c r="D1648" s="19" t="n"/>
      <c r="E1648" s="20" t="n"/>
      <c r="F1648" s="20" t="n"/>
      <c r="G1648" s="19" t="n"/>
      <c r="H1648" s="21">
        <f>IF(A1648="","",YEAR(A1648)*100+MONTH(A1648))</f>
        <v/>
      </c>
    </row>
    <row r="1649">
      <c r="A1649" s="18" t="n"/>
      <c r="B1649" s="19" t="n"/>
      <c r="C1649" s="19" t="n"/>
      <c r="D1649" s="19" t="n"/>
      <c r="E1649" s="20" t="n"/>
      <c r="F1649" s="20" t="n"/>
      <c r="G1649" s="19" t="n"/>
      <c r="H1649" s="21">
        <f>IF(A1649="","",YEAR(A1649)*100+MONTH(A1649))</f>
        <v/>
      </c>
    </row>
    <row r="1650">
      <c r="A1650" s="18" t="n"/>
      <c r="B1650" s="19" t="n"/>
      <c r="C1650" s="19" t="n"/>
      <c r="D1650" s="19" t="n"/>
      <c r="E1650" s="20" t="n"/>
      <c r="F1650" s="20" t="n"/>
      <c r="G1650" s="19" t="n"/>
      <c r="H1650" s="21">
        <f>IF(A1650="","",YEAR(A1650)*100+MONTH(A1650))</f>
        <v/>
      </c>
    </row>
    <row r="1651">
      <c r="A1651" s="18" t="n"/>
      <c r="B1651" s="19" t="n"/>
      <c r="C1651" s="19" t="n"/>
      <c r="D1651" s="19" t="n"/>
      <c r="E1651" s="20" t="n"/>
      <c r="F1651" s="20" t="n"/>
      <c r="G1651" s="19" t="n"/>
      <c r="H1651" s="21">
        <f>IF(A1651="","",YEAR(A1651)*100+MONTH(A1651))</f>
        <v/>
      </c>
    </row>
    <row r="1652">
      <c r="A1652" s="18" t="n"/>
      <c r="B1652" s="19" t="n"/>
      <c r="C1652" s="19" t="n"/>
      <c r="D1652" s="19" t="n"/>
      <c r="E1652" s="20" t="n"/>
      <c r="F1652" s="20" t="n"/>
      <c r="G1652" s="19" t="n"/>
      <c r="H1652" s="21">
        <f>IF(A1652="","",YEAR(A1652)*100+MONTH(A1652))</f>
        <v/>
      </c>
    </row>
    <row r="1653">
      <c r="A1653" s="18" t="n"/>
      <c r="B1653" s="19" t="n"/>
      <c r="C1653" s="19" t="n"/>
      <c r="D1653" s="19" t="n"/>
      <c r="E1653" s="20" t="n"/>
      <c r="F1653" s="20" t="n"/>
      <c r="G1653" s="19" t="n"/>
      <c r="H1653" s="21">
        <f>IF(A1653="","",YEAR(A1653)*100+MONTH(A1653))</f>
        <v/>
      </c>
    </row>
    <row r="1654">
      <c r="A1654" s="18" t="n"/>
      <c r="B1654" s="19" t="n"/>
      <c r="C1654" s="19" t="n"/>
      <c r="D1654" s="19" t="n"/>
      <c r="E1654" s="20" t="n"/>
      <c r="F1654" s="20" t="n"/>
      <c r="G1654" s="19" t="n"/>
      <c r="H1654" s="21">
        <f>IF(A1654="","",YEAR(A1654)*100+MONTH(A1654))</f>
        <v/>
      </c>
    </row>
    <row r="1655">
      <c r="A1655" s="18" t="n"/>
      <c r="B1655" s="19" t="n"/>
      <c r="C1655" s="19" t="n"/>
      <c r="D1655" s="19" t="n"/>
      <c r="E1655" s="20" t="n"/>
      <c r="F1655" s="20" t="n"/>
      <c r="G1655" s="19" t="n"/>
      <c r="H1655" s="21">
        <f>IF(A1655="","",YEAR(A1655)*100+MONTH(A1655))</f>
        <v/>
      </c>
    </row>
    <row r="1656">
      <c r="A1656" s="18" t="n"/>
      <c r="B1656" s="19" t="n"/>
      <c r="C1656" s="19" t="n"/>
      <c r="D1656" s="19" t="n"/>
      <c r="E1656" s="20" t="n"/>
      <c r="F1656" s="20" t="n"/>
      <c r="G1656" s="19" t="n"/>
      <c r="H1656" s="21">
        <f>IF(A1656="","",YEAR(A1656)*100+MONTH(A1656))</f>
        <v/>
      </c>
    </row>
    <row r="1657">
      <c r="A1657" s="18" t="n"/>
      <c r="B1657" s="19" t="n"/>
      <c r="C1657" s="19" t="n"/>
      <c r="D1657" s="19" t="n"/>
      <c r="E1657" s="20" t="n"/>
      <c r="F1657" s="20" t="n"/>
      <c r="G1657" s="19" t="n"/>
      <c r="H1657" s="21">
        <f>IF(A1657="","",YEAR(A1657)*100+MONTH(A1657))</f>
        <v/>
      </c>
    </row>
    <row r="1658">
      <c r="A1658" s="18" t="n"/>
      <c r="B1658" s="19" t="n"/>
      <c r="C1658" s="19" t="n"/>
      <c r="D1658" s="19" t="n"/>
      <c r="E1658" s="20" t="n"/>
      <c r="F1658" s="20" t="n"/>
      <c r="G1658" s="19" t="n"/>
      <c r="H1658" s="21">
        <f>IF(A1658="","",YEAR(A1658)*100+MONTH(A1658))</f>
        <v/>
      </c>
    </row>
    <row r="1659">
      <c r="A1659" s="18" t="n"/>
      <c r="B1659" s="19" t="n"/>
      <c r="C1659" s="19" t="n"/>
      <c r="D1659" s="19" t="n"/>
      <c r="E1659" s="20" t="n"/>
      <c r="F1659" s="20" t="n"/>
      <c r="G1659" s="19" t="n"/>
      <c r="H1659" s="21">
        <f>IF(A1659="","",YEAR(A1659)*100+MONTH(A1659))</f>
        <v/>
      </c>
    </row>
    <row r="1660">
      <c r="A1660" s="18" t="n"/>
      <c r="B1660" s="19" t="n"/>
      <c r="C1660" s="19" t="n"/>
      <c r="D1660" s="19" t="n"/>
      <c r="E1660" s="20" t="n"/>
      <c r="F1660" s="20" t="n"/>
      <c r="G1660" s="19" t="n"/>
      <c r="H1660" s="21">
        <f>IF(A1660="","",YEAR(A1660)*100+MONTH(A1660))</f>
        <v/>
      </c>
    </row>
    <row r="1661">
      <c r="A1661" s="18" t="n"/>
      <c r="B1661" s="19" t="n"/>
      <c r="C1661" s="19" t="n"/>
      <c r="D1661" s="19" t="n"/>
      <c r="E1661" s="20" t="n"/>
      <c r="F1661" s="20" t="n"/>
      <c r="G1661" s="19" t="n"/>
      <c r="H1661" s="21">
        <f>IF(A1661="","",YEAR(A1661)*100+MONTH(A1661))</f>
        <v/>
      </c>
    </row>
    <row r="1662">
      <c r="A1662" s="18" t="n"/>
      <c r="B1662" s="19" t="n"/>
      <c r="C1662" s="19" t="n"/>
      <c r="D1662" s="19" t="n"/>
      <c r="E1662" s="20" t="n"/>
      <c r="F1662" s="20" t="n"/>
      <c r="G1662" s="19" t="n"/>
      <c r="H1662" s="21">
        <f>IF(A1662="","",YEAR(A1662)*100+MONTH(A1662))</f>
        <v/>
      </c>
    </row>
    <row r="1663">
      <c r="A1663" s="18" t="n"/>
      <c r="B1663" s="19" t="n"/>
      <c r="C1663" s="19" t="n"/>
      <c r="D1663" s="19" t="n"/>
      <c r="E1663" s="20" t="n"/>
      <c r="F1663" s="20" t="n"/>
      <c r="G1663" s="19" t="n"/>
      <c r="H1663" s="21">
        <f>IF(A1663="","",YEAR(A1663)*100+MONTH(A1663))</f>
        <v/>
      </c>
    </row>
    <row r="1664">
      <c r="A1664" s="18" t="n"/>
      <c r="B1664" s="19" t="n"/>
      <c r="C1664" s="19" t="n"/>
      <c r="D1664" s="19" t="n"/>
      <c r="E1664" s="20" t="n"/>
      <c r="F1664" s="20" t="n"/>
      <c r="G1664" s="19" t="n"/>
      <c r="H1664" s="21">
        <f>IF(A1664="","",YEAR(A1664)*100+MONTH(A1664))</f>
        <v/>
      </c>
    </row>
    <row r="1665">
      <c r="A1665" s="18" t="n"/>
      <c r="B1665" s="19" t="n"/>
      <c r="C1665" s="19" t="n"/>
      <c r="D1665" s="19" t="n"/>
      <c r="E1665" s="20" t="n"/>
      <c r="F1665" s="20" t="n"/>
      <c r="G1665" s="19" t="n"/>
      <c r="H1665" s="21">
        <f>IF(A1665="","",YEAR(A1665)*100+MONTH(A1665))</f>
        <v/>
      </c>
    </row>
    <row r="1666">
      <c r="A1666" s="18" t="n"/>
      <c r="B1666" s="19" t="n"/>
      <c r="C1666" s="19" t="n"/>
      <c r="D1666" s="19" t="n"/>
      <c r="E1666" s="20" t="n"/>
      <c r="F1666" s="20" t="n"/>
      <c r="G1666" s="19" t="n"/>
      <c r="H1666" s="21">
        <f>IF(A1666="","",YEAR(A1666)*100+MONTH(A1666))</f>
        <v/>
      </c>
    </row>
    <row r="1667">
      <c r="A1667" s="18" t="n"/>
      <c r="B1667" s="19" t="n"/>
      <c r="C1667" s="19" t="n"/>
      <c r="D1667" s="19" t="n"/>
      <c r="E1667" s="20" t="n"/>
      <c r="F1667" s="20" t="n"/>
      <c r="G1667" s="19" t="n"/>
      <c r="H1667" s="21">
        <f>IF(A1667="","",YEAR(A1667)*100+MONTH(A1667))</f>
        <v/>
      </c>
    </row>
    <row r="1668">
      <c r="A1668" s="18" t="n"/>
      <c r="B1668" s="19" t="n"/>
      <c r="C1668" s="19" t="n"/>
      <c r="D1668" s="19" t="n"/>
      <c r="E1668" s="20" t="n"/>
      <c r="F1668" s="20" t="n"/>
      <c r="G1668" s="19" t="n"/>
      <c r="H1668" s="21">
        <f>IF(A1668="","",YEAR(A1668)*100+MONTH(A1668))</f>
        <v/>
      </c>
    </row>
    <row r="1669">
      <c r="A1669" s="18" t="n"/>
      <c r="B1669" s="19" t="n"/>
      <c r="C1669" s="19" t="n"/>
      <c r="D1669" s="19" t="n"/>
      <c r="E1669" s="20" t="n"/>
      <c r="F1669" s="20" t="n"/>
      <c r="G1669" s="19" t="n"/>
      <c r="H1669" s="21">
        <f>IF(A1669="","",YEAR(A1669)*100+MONTH(A1669))</f>
        <v/>
      </c>
    </row>
    <row r="1670">
      <c r="A1670" s="18" t="n"/>
      <c r="B1670" s="19" t="n"/>
      <c r="C1670" s="19" t="n"/>
      <c r="D1670" s="19" t="n"/>
      <c r="E1670" s="20" t="n"/>
      <c r="F1670" s="20" t="n"/>
      <c r="G1670" s="19" t="n"/>
      <c r="H1670" s="21">
        <f>IF(A1670="","",YEAR(A1670)*100+MONTH(A1670))</f>
        <v/>
      </c>
    </row>
    <row r="1671">
      <c r="A1671" s="18" t="n"/>
      <c r="B1671" s="19" t="n"/>
      <c r="C1671" s="19" t="n"/>
      <c r="D1671" s="19" t="n"/>
      <c r="E1671" s="20" t="n"/>
      <c r="F1671" s="20" t="n"/>
      <c r="G1671" s="19" t="n"/>
      <c r="H1671" s="21">
        <f>IF(A1671="","",YEAR(A1671)*100+MONTH(A1671))</f>
        <v/>
      </c>
    </row>
    <row r="1672">
      <c r="A1672" s="18" t="n"/>
      <c r="B1672" s="19" t="n"/>
      <c r="C1672" s="19" t="n"/>
      <c r="D1672" s="19" t="n"/>
      <c r="E1672" s="20" t="n"/>
      <c r="F1672" s="20" t="n"/>
      <c r="G1672" s="19" t="n"/>
      <c r="H1672" s="21">
        <f>IF(A1672="","",YEAR(A1672)*100+MONTH(A1672))</f>
        <v/>
      </c>
    </row>
    <row r="1673">
      <c r="A1673" s="18" t="n"/>
      <c r="B1673" s="19" t="n"/>
      <c r="C1673" s="19" t="n"/>
      <c r="D1673" s="19" t="n"/>
      <c r="E1673" s="20" t="n"/>
      <c r="F1673" s="20" t="n"/>
      <c r="G1673" s="19" t="n"/>
      <c r="H1673" s="21">
        <f>IF(A1673="","",YEAR(A1673)*100+MONTH(A1673))</f>
        <v/>
      </c>
    </row>
    <row r="1674">
      <c r="A1674" s="18" t="n"/>
      <c r="B1674" s="19" t="n"/>
      <c r="C1674" s="19" t="n"/>
      <c r="D1674" s="19" t="n"/>
      <c r="E1674" s="20" t="n"/>
      <c r="F1674" s="20" t="n"/>
      <c r="G1674" s="19" t="n"/>
      <c r="H1674" s="21">
        <f>IF(A1674="","",YEAR(A1674)*100+MONTH(A1674))</f>
        <v/>
      </c>
    </row>
    <row r="1675">
      <c r="A1675" s="18" t="n"/>
      <c r="B1675" s="19" t="n"/>
      <c r="C1675" s="19" t="n"/>
      <c r="D1675" s="19" t="n"/>
      <c r="E1675" s="20" t="n"/>
      <c r="F1675" s="20" t="n"/>
      <c r="G1675" s="19" t="n"/>
      <c r="H1675" s="21">
        <f>IF(A1675="","",YEAR(A1675)*100+MONTH(A1675))</f>
        <v/>
      </c>
    </row>
    <row r="1676">
      <c r="A1676" s="18" t="n"/>
      <c r="B1676" s="19" t="n"/>
      <c r="C1676" s="19" t="n"/>
      <c r="D1676" s="19" t="n"/>
      <c r="E1676" s="20" t="n"/>
      <c r="F1676" s="20" t="n"/>
      <c r="G1676" s="19" t="n"/>
      <c r="H1676" s="21">
        <f>IF(A1676="","",YEAR(A1676)*100+MONTH(A1676))</f>
        <v/>
      </c>
    </row>
    <row r="1677">
      <c r="A1677" s="18" t="n"/>
      <c r="B1677" s="19" t="n"/>
      <c r="C1677" s="19" t="n"/>
      <c r="D1677" s="19" t="n"/>
      <c r="E1677" s="20" t="n"/>
      <c r="F1677" s="20" t="n"/>
      <c r="G1677" s="19" t="n"/>
      <c r="H1677" s="21">
        <f>IF(A1677="","",YEAR(A1677)*100+MONTH(A1677))</f>
        <v/>
      </c>
    </row>
    <row r="1678">
      <c r="A1678" s="18" t="n"/>
      <c r="B1678" s="19" t="n"/>
      <c r="C1678" s="19" t="n"/>
      <c r="D1678" s="19" t="n"/>
      <c r="E1678" s="20" t="n"/>
      <c r="F1678" s="20" t="n"/>
      <c r="G1678" s="19" t="n"/>
      <c r="H1678" s="21">
        <f>IF(A1678="","",YEAR(A1678)*100+MONTH(A1678))</f>
        <v/>
      </c>
    </row>
    <row r="1679">
      <c r="A1679" s="18" t="n"/>
      <c r="B1679" s="19" t="n"/>
      <c r="C1679" s="19" t="n"/>
      <c r="D1679" s="19" t="n"/>
      <c r="E1679" s="20" t="n"/>
      <c r="F1679" s="20" t="n"/>
      <c r="G1679" s="19" t="n"/>
      <c r="H1679" s="21">
        <f>IF(A1679="","",YEAR(A1679)*100+MONTH(A1679))</f>
        <v/>
      </c>
    </row>
    <row r="1680">
      <c r="A1680" s="18" t="n"/>
      <c r="B1680" s="19" t="n"/>
      <c r="C1680" s="19" t="n"/>
      <c r="D1680" s="19" t="n"/>
      <c r="E1680" s="20" t="n"/>
      <c r="F1680" s="20" t="n"/>
      <c r="G1680" s="19" t="n"/>
      <c r="H1680" s="21">
        <f>IF(A1680="","",YEAR(A1680)*100+MONTH(A1680))</f>
        <v/>
      </c>
    </row>
    <row r="1681">
      <c r="A1681" s="18" t="n"/>
      <c r="B1681" s="19" t="n"/>
      <c r="C1681" s="19" t="n"/>
      <c r="D1681" s="19" t="n"/>
      <c r="E1681" s="20" t="n"/>
      <c r="F1681" s="20" t="n"/>
      <c r="G1681" s="19" t="n"/>
      <c r="H1681" s="21">
        <f>IF(A1681="","",YEAR(A1681)*100+MONTH(A1681))</f>
        <v/>
      </c>
    </row>
    <row r="1682">
      <c r="A1682" s="18" t="n"/>
      <c r="B1682" s="19" t="n"/>
      <c r="C1682" s="19" t="n"/>
      <c r="D1682" s="19" t="n"/>
      <c r="E1682" s="20" t="n"/>
      <c r="F1682" s="20" t="n"/>
      <c r="G1682" s="19" t="n"/>
      <c r="H1682" s="21">
        <f>IF(A1682="","",YEAR(A1682)*100+MONTH(A1682))</f>
        <v/>
      </c>
    </row>
    <row r="1683">
      <c r="A1683" s="18" t="n"/>
      <c r="B1683" s="19" t="n"/>
      <c r="C1683" s="19" t="n"/>
      <c r="D1683" s="19" t="n"/>
      <c r="E1683" s="20" t="n"/>
      <c r="F1683" s="20" t="n"/>
      <c r="G1683" s="19" t="n"/>
      <c r="H1683" s="21">
        <f>IF(A1683="","",YEAR(A1683)*100+MONTH(A1683))</f>
        <v/>
      </c>
    </row>
    <row r="1684">
      <c r="A1684" s="18" t="n"/>
      <c r="B1684" s="19" t="n"/>
      <c r="C1684" s="19" t="n"/>
      <c r="D1684" s="19" t="n"/>
      <c r="E1684" s="20" t="n"/>
      <c r="F1684" s="20" t="n"/>
      <c r="G1684" s="19" t="n"/>
      <c r="H1684" s="21">
        <f>IF(A1684="","",YEAR(A1684)*100+MONTH(A1684))</f>
        <v/>
      </c>
    </row>
    <row r="1685">
      <c r="A1685" s="18" t="n"/>
      <c r="B1685" s="19" t="n"/>
      <c r="C1685" s="19" t="n"/>
      <c r="D1685" s="19" t="n"/>
      <c r="E1685" s="20" t="n"/>
      <c r="F1685" s="20" t="n"/>
      <c r="G1685" s="19" t="n"/>
      <c r="H1685" s="21">
        <f>IF(A1685="","",YEAR(A1685)*100+MONTH(A1685))</f>
        <v/>
      </c>
    </row>
    <row r="1686">
      <c r="A1686" s="18" t="n"/>
      <c r="B1686" s="19" t="n"/>
      <c r="C1686" s="19" t="n"/>
      <c r="D1686" s="19" t="n"/>
      <c r="E1686" s="20" t="n"/>
      <c r="F1686" s="20" t="n"/>
      <c r="G1686" s="19" t="n"/>
      <c r="H1686" s="21">
        <f>IF(A1686="","",YEAR(A1686)*100+MONTH(A1686))</f>
        <v/>
      </c>
    </row>
    <row r="1687">
      <c r="A1687" s="18" t="n"/>
      <c r="B1687" s="19" t="n"/>
      <c r="C1687" s="19" t="n"/>
      <c r="D1687" s="19" t="n"/>
      <c r="E1687" s="20" t="n"/>
      <c r="F1687" s="20" t="n"/>
      <c r="G1687" s="19" t="n"/>
      <c r="H1687" s="21">
        <f>IF(A1687="","",YEAR(A1687)*100+MONTH(A1687))</f>
        <v/>
      </c>
    </row>
    <row r="1688">
      <c r="A1688" s="18" t="n"/>
      <c r="B1688" s="19" t="n"/>
      <c r="C1688" s="19" t="n"/>
      <c r="D1688" s="19" t="n"/>
      <c r="E1688" s="20" t="n"/>
      <c r="F1688" s="20" t="n"/>
      <c r="G1688" s="19" t="n"/>
      <c r="H1688" s="21">
        <f>IF(A1688="","",YEAR(A1688)*100+MONTH(A1688))</f>
        <v/>
      </c>
    </row>
    <row r="1689">
      <c r="A1689" s="18" t="n"/>
      <c r="B1689" s="19" t="n"/>
      <c r="C1689" s="19" t="n"/>
      <c r="D1689" s="19" t="n"/>
      <c r="E1689" s="20" t="n"/>
      <c r="F1689" s="20" t="n"/>
      <c r="G1689" s="19" t="n"/>
      <c r="H1689" s="21">
        <f>IF(A1689="","",YEAR(A1689)*100+MONTH(A1689))</f>
        <v/>
      </c>
    </row>
    <row r="1690">
      <c r="A1690" s="18" t="n"/>
      <c r="B1690" s="19" t="n"/>
      <c r="C1690" s="19" t="n"/>
      <c r="D1690" s="19" t="n"/>
      <c r="E1690" s="20" t="n"/>
      <c r="F1690" s="20" t="n"/>
      <c r="G1690" s="19" t="n"/>
      <c r="H1690" s="21">
        <f>IF(A1690="","",YEAR(A1690)*100+MONTH(A1690))</f>
        <v/>
      </c>
    </row>
    <row r="1691">
      <c r="A1691" s="18" t="n"/>
      <c r="B1691" s="19" t="n"/>
      <c r="C1691" s="19" t="n"/>
      <c r="D1691" s="19" t="n"/>
      <c r="E1691" s="20" t="n"/>
      <c r="F1691" s="20" t="n"/>
      <c r="G1691" s="19" t="n"/>
      <c r="H1691" s="21">
        <f>IF(A1691="","",YEAR(A1691)*100+MONTH(A1691))</f>
        <v/>
      </c>
    </row>
    <row r="1692">
      <c r="A1692" s="18" t="n"/>
      <c r="B1692" s="19" t="n"/>
      <c r="C1692" s="19" t="n"/>
      <c r="D1692" s="19" t="n"/>
      <c r="E1692" s="20" t="n"/>
      <c r="F1692" s="20" t="n"/>
      <c r="G1692" s="19" t="n"/>
      <c r="H1692" s="21">
        <f>IF(A1692="","",YEAR(A1692)*100+MONTH(A1692))</f>
        <v/>
      </c>
    </row>
    <row r="1693">
      <c r="A1693" s="18" t="n"/>
      <c r="B1693" s="19" t="n"/>
      <c r="C1693" s="19" t="n"/>
      <c r="D1693" s="19" t="n"/>
      <c r="E1693" s="20" t="n"/>
      <c r="F1693" s="20" t="n"/>
      <c r="G1693" s="19" t="n"/>
      <c r="H1693" s="21">
        <f>IF(A1693="","",YEAR(A1693)*100+MONTH(A1693))</f>
        <v/>
      </c>
    </row>
    <row r="1694">
      <c r="A1694" s="18" t="n"/>
      <c r="B1694" s="19" t="n"/>
      <c r="C1694" s="19" t="n"/>
      <c r="D1694" s="19" t="n"/>
      <c r="E1694" s="20" t="n"/>
      <c r="F1694" s="20" t="n"/>
      <c r="G1694" s="19" t="n"/>
      <c r="H1694" s="21">
        <f>IF(A1694="","",YEAR(A1694)*100+MONTH(A1694))</f>
        <v/>
      </c>
    </row>
    <row r="1695">
      <c r="A1695" s="18" t="n"/>
      <c r="B1695" s="19" t="n"/>
      <c r="C1695" s="19" t="n"/>
      <c r="D1695" s="19" t="n"/>
      <c r="E1695" s="20" t="n"/>
      <c r="F1695" s="20" t="n"/>
      <c r="G1695" s="19" t="n"/>
      <c r="H1695" s="21">
        <f>IF(A1695="","",YEAR(A1695)*100+MONTH(A1695))</f>
        <v/>
      </c>
    </row>
    <row r="1696">
      <c r="A1696" s="18" t="n"/>
      <c r="B1696" s="19" t="n"/>
      <c r="C1696" s="19" t="n"/>
      <c r="D1696" s="19" t="n"/>
      <c r="E1696" s="20" t="n"/>
      <c r="F1696" s="20" t="n"/>
      <c r="G1696" s="19" t="n"/>
      <c r="H1696" s="21">
        <f>IF(A1696="","",YEAR(A1696)*100+MONTH(A1696))</f>
        <v/>
      </c>
    </row>
    <row r="1697">
      <c r="A1697" s="18" t="n"/>
      <c r="B1697" s="19" t="n"/>
      <c r="C1697" s="19" t="n"/>
      <c r="D1697" s="19" t="n"/>
      <c r="E1697" s="20" t="n"/>
      <c r="F1697" s="20" t="n"/>
      <c r="G1697" s="19" t="n"/>
      <c r="H1697" s="21">
        <f>IF(A1697="","",YEAR(A1697)*100+MONTH(A1697))</f>
        <v/>
      </c>
    </row>
    <row r="1698">
      <c r="A1698" s="18" t="n"/>
      <c r="B1698" s="19" t="n"/>
      <c r="C1698" s="19" t="n"/>
      <c r="D1698" s="19" t="n"/>
      <c r="E1698" s="20" t="n"/>
      <c r="F1698" s="20" t="n"/>
      <c r="G1698" s="19" t="n"/>
      <c r="H1698" s="21">
        <f>IF(A1698="","",YEAR(A1698)*100+MONTH(A1698))</f>
        <v/>
      </c>
    </row>
    <row r="1699">
      <c r="A1699" s="18" t="n"/>
      <c r="B1699" s="19" t="n"/>
      <c r="C1699" s="19" t="n"/>
      <c r="D1699" s="19" t="n"/>
      <c r="E1699" s="20" t="n"/>
      <c r="F1699" s="20" t="n"/>
      <c r="G1699" s="19" t="n"/>
      <c r="H1699" s="21">
        <f>IF(A1699="","",YEAR(A1699)*100+MONTH(A1699))</f>
        <v/>
      </c>
    </row>
    <row r="1700">
      <c r="A1700" s="18" t="n"/>
      <c r="B1700" s="19" t="n"/>
      <c r="C1700" s="19" t="n"/>
      <c r="D1700" s="19" t="n"/>
      <c r="E1700" s="20" t="n"/>
      <c r="F1700" s="20" t="n"/>
      <c r="G1700" s="19" t="n"/>
      <c r="H1700" s="21">
        <f>IF(A1700="","",YEAR(A1700)*100+MONTH(A1700))</f>
        <v/>
      </c>
    </row>
    <row r="1701">
      <c r="A1701" s="18" t="n"/>
      <c r="B1701" s="19" t="n"/>
      <c r="C1701" s="19" t="n"/>
      <c r="D1701" s="19" t="n"/>
      <c r="E1701" s="20" t="n"/>
      <c r="F1701" s="20" t="n"/>
      <c r="G1701" s="19" t="n"/>
      <c r="H1701" s="21">
        <f>IF(A1701="","",YEAR(A1701)*100+MONTH(A1701))</f>
        <v/>
      </c>
    </row>
    <row r="1702">
      <c r="A1702" s="18" t="n"/>
      <c r="B1702" s="19" t="n"/>
      <c r="C1702" s="19" t="n"/>
      <c r="D1702" s="19" t="n"/>
      <c r="E1702" s="20" t="n"/>
      <c r="F1702" s="20" t="n"/>
      <c r="G1702" s="19" t="n"/>
      <c r="H1702" s="21">
        <f>IF(A1702="","",YEAR(A1702)*100+MONTH(A1702))</f>
        <v/>
      </c>
    </row>
    <row r="1703">
      <c r="A1703" s="18" t="n"/>
      <c r="B1703" s="19" t="n"/>
      <c r="C1703" s="19" t="n"/>
      <c r="D1703" s="19" t="n"/>
      <c r="E1703" s="20" t="n"/>
      <c r="F1703" s="20" t="n"/>
      <c r="G1703" s="19" t="n"/>
      <c r="H1703" s="21">
        <f>IF(A1703="","",YEAR(A1703)*100+MONTH(A1703))</f>
        <v/>
      </c>
    </row>
    <row r="1704">
      <c r="A1704" s="18" t="n"/>
      <c r="B1704" s="19" t="n"/>
      <c r="C1704" s="19" t="n"/>
      <c r="D1704" s="19" t="n"/>
      <c r="E1704" s="20" t="n"/>
      <c r="F1704" s="20" t="n"/>
      <c r="G1704" s="19" t="n"/>
      <c r="H1704" s="21">
        <f>IF(A1704="","",YEAR(A1704)*100+MONTH(A1704))</f>
        <v/>
      </c>
    </row>
    <row r="1705">
      <c r="A1705" s="18" t="n"/>
      <c r="B1705" s="19" t="n"/>
      <c r="C1705" s="19" t="n"/>
      <c r="D1705" s="19" t="n"/>
      <c r="E1705" s="20" t="n"/>
      <c r="F1705" s="20" t="n"/>
      <c r="G1705" s="19" t="n"/>
      <c r="H1705" s="21">
        <f>IF(A1705="","",YEAR(A1705)*100+MONTH(A1705))</f>
        <v/>
      </c>
    </row>
    <row r="1706">
      <c r="A1706" s="18" t="n"/>
      <c r="B1706" s="19" t="n"/>
      <c r="C1706" s="19" t="n"/>
      <c r="D1706" s="19" t="n"/>
      <c r="E1706" s="20" t="n"/>
      <c r="F1706" s="20" t="n"/>
      <c r="G1706" s="19" t="n"/>
      <c r="H1706" s="21">
        <f>IF(A1706="","",YEAR(A1706)*100+MONTH(A1706))</f>
        <v/>
      </c>
    </row>
    <row r="1707">
      <c r="A1707" s="18" t="n"/>
      <c r="B1707" s="19" t="n"/>
      <c r="C1707" s="19" t="n"/>
      <c r="D1707" s="19" t="n"/>
      <c r="E1707" s="20" t="n"/>
      <c r="F1707" s="20" t="n"/>
      <c r="G1707" s="19" t="n"/>
      <c r="H1707" s="21">
        <f>IF(A1707="","",YEAR(A1707)*100+MONTH(A1707))</f>
        <v/>
      </c>
    </row>
    <row r="1708">
      <c r="A1708" s="18" t="n"/>
      <c r="B1708" s="19" t="n"/>
      <c r="C1708" s="19" t="n"/>
      <c r="D1708" s="19" t="n"/>
      <c r="E1708" s="20" t="n"/>
      <c r="F1708" s="20" t="n"/>
      <c r="G1708" s="19" t="n"/>
      <c r="H1708" s="21">
        <f>IF(A1708="","",YEAR(A1708)*100+MONTH(A1708))</f>
        <v/>
      </c>
    </row>
    <row r="1709">
      <c r="A1709" s="18" t="n"/>
      <c r="B1709" s="19" t="n"/>
      <c r="C1709" s="19" t="n"/>
      <c r="D1709" s="19" t="n"/>
      <c r="E1709" s="20" t="n"/>
      <c r="F1709" s="20" t="n"/>
      <c r="G1709" s="19" t="n"/>
      <c r="H1709" s="21">
        <f>IF(A1709="","",YEAR(A1709)*100+MONTH(A1709))</f>
        <v/>
      </c>
    </row>
    <row r="1710">
      <c r="A1710" s="18" t="n"/>
      <c r="B1710" s="19" t="n"/>
      <c r="C1710" s="19" t="n"/>
      <c r="D1710" s="19" t="n"/>
      <c r="E1710" s="20" t="n"/>
      <c r="F1710" s="20" t="n"/>
      <c r="G1710" s="19" t="n"/>
      <c r="H1710" s="21">
        <f>IF(A1710="","",YEAR(A1710)*100+MONTH(A1710))</f>
        <v/>
      </c>
    </row>
    <row r="1711">
      <c r="A1711" s="18" t="n"/>
      <c r="B1711" s="19" t="n"/>
      <c r="C1711" s="19" t="n"/>
      <c r="D1711" s="19" t="n"/>
      <c r="E1711" s="20" t="n"/>
      <c r="F1711" s="20" t="n"/>
      <c r="G1711" s="19" t="n"/>
      <c r="H1711" s="21">
        <f>IF(A1711="","",YEAR(A1711)*100+MONTH(A1711))</f>
        <v/>
      </c>
    </row>
    <row r="1712">
      <c r="A1712" s="18" t="n"/>
      <c r="B1712" s="19" t="n"/>
      <c r="C1712" s="19" t="n"/>
      <c r="D1712" s="19" t="n"/>
      <c r="E1712" s="20" t="n"/>
      <c r="F1712" s="20" t="n"/>
      <c r="G1712" s="19" t="n"/>
      <c r="H1712" s="21">
        <f>IF(A1712="","",YEAR(A1712)*100+MONTH(A1712))</f>
        <v/>
      </c>
    </row>
    <row r="1713">
      <c r="A1713" s="18" t="n"/>
      <c r="B1713" s="19" t="n"/>
      <c r="C1713" s="19" t="n"/>
      <c r="D1713" s="19" t="n"/>
      <c r="E1713" s="20" t="n"/>
      <c r="F1713" s="20" t="n"/>
      <c r="G1713" s="19" t="n"/>
      <c r="H1713" s="21">
        <f>IF(A1713="","",YEAR(A1713)*100+MONTH(A1713))</f>
        <v/>
      </c>
    </row>
    <row r="1714">
      <c r="A1714" s="18" t="n"/>
      <c r="B1714" s="19" t="n"/>
      <c r="C1714" s="19" t="n"/>
      <c r="D1714" s="19" t="n"/>
      <c r="E1714" s="20" t="n"/>
      <c r="F1714" s="20" t="n"/>
      <c r="G1714" s="19" t="n"/>
      <c r="H1714" s="21">
        <f>IF(A1714="","",YEAR(A1714)*100+MONTH(A1714))</f>
        <v/>
      </c>
    </row>
    <row r="1715">
      <c r="A1715" s="18" t="n"/>
      <c r="B1715" s="19" t="n"/>
      <c r="C1715" s="19" t="n"/>
      <c r="D1715" s="19" t="n"/>
      <c r="E1715" s="20" t="n"/>
      <c r="F1715" s="20" t="n"/>
      <c r="G1715" s="19" t="n"/>
      <c r="H1715" s="21">
        <f>IF(A1715="","",YEAR(A1715)*100+MONTH(A1715))</f>
        <v/>
      </c>
    </row>
    <row r="1716">
      <c r="A1716" s="18" t="n"/>
      <c r="B1716" s="19" t="n"/>
      <c r="C1716" s="19" t="n"/>
      <c r="D1716" s="19" t="n"/>
      <c r="E1716" s="20" t="n"/>
      <c r="F1716" s="20" t="n"/>
      <c r="G1716" s="19" t="n"/>
      <c r="H1716" s="21">
        <f>IF(A1716="","",YEAR(A1716)*100+MONTH(A1716))</f>
        <v/>
      </c>
    </row>
    <row r="1717">
      <c r="A1717" s="18" t="n"/>
      <c r="B1717" s="19" t="n"/>
      <c r="C1717" s="19" t="n"/>
      <c r="D1717" s="19" t="n"/>
      <c r="E1717" s="20" t="n"/>
      <c r="F1717" s="20" t="n"/>
      <c r="G1717" s="19" t="n"/>
      <c r="H1717" s="21">
        <f>IF(A1717="","",YEAR(A1717)*100+MONTH(A1717))</f>
        <v/>
      </c>
    </row>
    <row r="1718">
      <c r="A1718" s="18" t="n"/>
      <c r="B1718" s="19" t="n"/>
      <c r="C1718" s="19" t="n"/>
      <c r="D1718" s="19" t="n"/>
      <c r="E1718" s="20" t="n"/>
      <c r="F1718" s="20" t="n"/>
      <c r="G1718" s="19" t="n"/>
      <c r="H1718" s="21">
        <f>IF(A1718="","",YEAR(A1718)*100+MONTH(A1718))</f>
        <v/>
      </c>
    </row>
    <row r="1719">
      <c r="A1719" s="18" t="n"/>
      <c r="B1719" s="19" t="n"/>
      <c r="C1719" s="19" t="n"/>
      <c r="D1719" s="19" t="n"/>
      <c r="E1719" s="20" t="n"/>
      <c r="F1719" s="20" t="n"/>
      <c r="G1719" s="19" t="n"/>
      <c r="H1719" s="21">
        <f>IF(A1719="","",YEAR(A1719)*100+MONTH(A1719))</f>
        <v/>
      </c>
    </row>
    <row r="1720">
      <c r="A1720" s="18" t="n"/>
      <c r="B1720" s="19" t="n"/>
      <c r="C1720" s="19" t="n"/>
      <c r="D1720" s="19" t="n"/>
      <c r="E1720" s="20" t="n"/>
      <c r="F1720" s="20" t="n"/>
      <c r="G1720" s="19" t="n"/>
      <c r="H1720" s="21">
        <f>IF(A1720="","",YEAR(A1720)*100+MONTH(A1720))</f>
        <v/>
      </c>
    </row>
    <row r="1721">
      <c r="A1721" s="18" t="n"/>
      <c r="B1721" s="19" t="n"/>
      <c r="C1721" s="19" t="n"/>
      <c r="D1721" s="19" t="n"/>
      <c r="E1721" s="20" t="n"/>
      <c r="F1721" s="20" t="n"/>
      <c r="G1721" s="19" t="n"/>
      <c r="H1721" s="21">
        <f>IF(A1721="","",YEAR(A1721)*100+MONTH(A1721))</f>
        <v/>
      </c>
    </row>
    <row r="1722">
      <c r="A1722" s="18" t="n"/>
      <c r="B1722" s="19" t="n"/>
      <c r="C1722" s="19" t="n"/>
      <c r="D1722" s="19" t="n"/>
      <c r="E1722" s="20" t="n"/>
      <c r="F1722" s="20" t="n"/>
      <c r="G1722" s="19" t="n"/>
      <c r="H1722" s="21">
        <f>IF(A1722="","",YEAR(A1722)*100+MONTH(A1722))</f>
        <v/>
      </c>
    </row>
    <row r="1723">
      <c r="A1723" s="18" t="n"/>
      <c r="B1723" s="19" t="n"/>
      <c r="C1723" s="19" t="n"/>
      <c r="D1723" s="19" t="n"/>
      <c r="E1723" s="20" t="n"/>
      <c r="F1723" s="20" t="n"/>
      <c r="G1723" s="19" t="n"/>
      <c r="H1723" s="21">
        <f>IF(A1723="","",YEAR(A1723)*100+MONTH(A1723))</f>
        <v/>
      </c>
    </row>
    <row r="1724">
      <c r="A1724" s="18" t="n"/>
      <c r="B1724" s="19" t="n"/>
      <c r="C1724" s="19" t="n"/>
      <c r="D1724" s="19" t="n"/>
      <c r="E1724" s="20" t="n"/>
      <c r="F1724" s="20" t="n"/>
      <c r="G1724" s="19" t="n"/>
      <c r="H1724" s="21">
        <f>IF(A1724="","",YEAR(A1724)*100+MONTH(A1724))</f>
        <v/>
      </c>
    </row>
    <row r="1725">
      <c r="A1725" s="18" t="n"/>
      <c r="B1725" s="19" t="n"/>
      <c r="C1725" s="19" t="n"/>
      <c r="D1725" s="19" t="n"/>
      <c r="E1725" s="20" t="n"/>
      <c r="F1725" s="20" t="n"/>
      <c r="G1725" s="19" t="n"/>
      <c r="H1725" s="21">
        <f>IF(A1725="","",YEAR(A1725)*100+MONTH(A1725))</f>
        <v/>
      </c>
    </row>
    <row r="1726">
      <c r="A1726" s="18" t="n"/>
      <c r="B1726" s="19" t="n"/>
      <c r="C1726" s="19" t="n"/>
      <c r="D1726" s="19" t="n"/>
      <c r="E1726" s="20" t="n"/>
      <c r="F1726" s="20" t="n"/>
      <c r="G1726" s="19" t="n"/>
      <c r="H1726" s="21">
        <f>IF(A1726="","",YEAR(A1726)*100+MONTH(A1726))</f>
        <v/>
      </c>
    </row>
    <row r="1727">
      <c r="A1727" s="18" t="n"/>
      <c r="B1727" s="19" t="n"/>
      <c r="C1727" s="19" t="n"/>
      <c r="D1727" s="19" t="n"/>
      <c r="E1727" s="20" t="n"/>
      <c r="F1727" s="20" t="n"/>
      <c r="G1727" s="19" t="n"/>
      <c r="H1727" s="21">
        <f>IF(A1727="","",YEAR(A1727)*100+MONTH(A1727))</f>
        <v/>
      </c>
    </row>
    <row r="1728">
      <c r="A1728" s="18" t="n"/>
      <c r="B1728" s="19" t="n"/>
      <c r="C1728" s="19" t="n"/>
      <c r="D1728" s="19" t="n"/>
      <c r="E1728" s="20" t="n"/>
      <c r="F1728" s="20" t="n"/>
      <c r="G1728" s="19" t="n"/>
      <c r="H1728" s="21">
        <f>IF(A1728="","",YEAR(A1728)*100+MONTH(A1728))</f>
        <v/>
      </c>
    </row>
    <row r="1729">
      <c r="A1729" s="18" t="n"/>
      <c r="B1729" s="19" t="n"/>
      <c r="C1729" s="19" t="n"/>
      <c r="D1729" s="19" t="n"/>
      <c r="E1729" s="20" t="n"/>
      <c r="F1729" s="20" t="n"/>
      <c r="G1729" s="19" t="n"/>
      <c r="H1729" s="21">
        <f>IF(A1729="","",YEAR(A1729)*100+MONTH(A1729))</f>
        <v/>
      </c>
    </row>
    <row r="1730">
      <c r="A1730" s="18" t="n"/>
      <c r="B1730" s="19" t="n"/>
      <c r="C1730" s="19" t="n"/>
      <c r="D1730" s="19" t="n"/>
      <c r="E1730" s="20" t="n"/>
      <c r="F1730" s="20" t="n"/>
      <c r="G1730" s="19" t="n"/>
      <c r="H1730" s="21">
        <f>IF(A1730="","",YEAR(A1730)*100+MONTH(A1730))</f>
        <v/>
      </c>
    </row>
    <row r="1731">
      <c r="A1731" s="18" t="n"/>
      <c r="B1731" s="19" t="n"/>
      <c r="C1731" s="19" t="n"/>
      <c r="D1731" s="19" t="n"/>
      <c r="E1731" s="20" t="n"/>
      <c r="F1731" s="20" t="n"/>
      <c r="G1731" s="19" t="n"/>
      <c r="H1731" s="21">
        <f>IF(A1731="","",YEAR(A1731)*100+MONTH(A1731))</f>
        <v/>
      </c>
    </row>
    <row r="1732">
      <c r="A1732" s="18" t="n"/>
      <c r="B1732" s="19" t="n"/>
      <c r="C1732" s="19" t="n"/>
      <c r="D1732" s="19" t="n"/>
      <c r="E1732" s="20" t="n"/>
      <c r="F1732" s="20" t="n"/>
      <c r="G1732" s="19" t="n"/>
      <c r="H1732" s="21">
        <f>IF(A1732="","",YEAR(A1732)*100+MONTH(A1732))</f>
        <v/>
      </c>
    </row>
    <row r="1733">
      <c r="A1733" s="18" t="n"/>
      <c r="B1733" s="19" t="n"/>
      <c r="C1733" s="19" t="n"/>
      <c r="D1733" s="19" t="n"/>
      <c r="E1733" s="20" t="n"/>
      <c r="F1733" s="20" t="n"/>
      <c r="G1733" s="19" t="n"/>
      <c r="H1733" s="21">
        <f>IF(A1733="","",YEAR(A1733)*100+MONTH(A1733))</f>
        <v/>
      </c>
    </row>
    <row r="1734">
      <c r="A1734" s="18" t="n"/>
      <c r="B1734" s="19" t="n"/>
      <c r="C1734" s="19" t="n"/>
      <c r="D1734" s="19" t="n"/>
      <c r="E1734" s="20" t="n"/>
      <c r="F1734" s="20" t="n"/>
      <c r="G1734" s="19" t="n"/>
      <c r="H1734" s="21">
        <f>IF(A1734="","",YEAR(A1734)*100+MONTH(A1734))</f>
        <v/>
      </c>
    </row>
    <row r="1735">
      <c r="A1735" s="18" t="n"/>
      <c r="B1735" s="19" t="n"/>
      <c r="C1735" s="19" t="n"/>
      <c r="D1735" s="19" t="n"/>
      <c r="E1735" s="20" t="n"/>
      <c r="F1735" s="20" t="n"/>
      <c r="G1735" s="19" t="n"/>
      <c r="H1735" s="21">
        <f>IF(A1735="","",YEAR(A1735)*100+MONTH(A1735))</f>
        <v/>
      </c>
    </row>
    <row r="1736">
      <c r="A1736" s="18" t="n"/>
      <c r="B1736" s="19" t="n"/>
      <c r="C1736" s="19" t="n"/>
      <c r="D1736" s="19" t="n"/>
      <c r="E1736" s="20" t="n"/>
      <c r="F1736" s="20" t="n"/>
      <c r="G1736" s="19" t="n"/>
      <c r="H1736" s="21">
        <f>IF(A1736="","",YEAR(A1736)*100+MONTH(A1736))</f>
        <v/>
      </c>
    </row>
    <row r="1737">
      <c r="A1737" s="18" t="n"/>
      <c r="B1737" s="19" t="n"/>
      <c r="C1737" s="19" t="n"/>
      <c r="D1737" s="19" t="n"/>
      <c r="E1737" s="20" t="n"/>
      <c r="F1737" s="20" t="n"/>
      <c r="G1737" s="19" t="n"/>
      <c r="H1737" s="21">
        <f>IF(A1737="","",YEAR(A1737)*100+MONTH(A1737))</f>
        <v/>
      </c>
    </row>
    <row r="1738">
      <c r="A1738" s="18" t="n"/>
      <c r="B1738" s="19" t="n"/>
      <c r="C1738" s="19" t="n"/>
      <c r="D1738" s="19" t="n"/>
      <c r="E1738" s="20" t="n"/>
      <c r="F1738" s="20" t="n"/>
      <c r="G1738" s="19" t="n"/>
      <c r="H1738" s="21">
        <f>IF(A1738="","",YEAR(A1738)*100+MONTH(A1738))</f>
        <v/>
      </c>
    </row>
    <row r="1739">
      <c r="A1739" s="18" t="n"/>
      <c r="B1739" s="19" t="n"/>
      <c r="C1739" s="19" t="n"/>
      <c r="D1739" s="19" t="n"/>
      <c r="E1739" s="20" t="n"/>
      <c r="F1739" s="20" t="n"/>
      <c r="G1739" s="19" t="n"/>
      <c r="H1739" s="21">
        <f>IF(A1739="","",YEAR(A1739)*100+MONTH(A1739))</f>
        <v/>
      </c>
    </row>
    <row r="1740">
      <c r="A1740" s="18" t="n"/>
      <c r="B1740" s="19" t="n"/>
      <c r="C1740" s="19" t="n"/>
      <c r="D1740" s="19" t="n"/>
      <c r="E1740" s="20" t="n"/>
      <c r="F1740" s="20" t="n"/>
      <c r="G1740" s="19" t="n"/>
      <c r="H1740" s="21">
        <f>IF(A1740="","",YEAR(A1740)*100+MONTH(A1740))</f>
        <v/>
      </c>
    </row>
    <row r="1741">
      <c r="A1741" s="18" t="n"/>
      <c r="B1741" s="19" t="n"/>
      <c r="C1741" s="19" t="n"/>
      <c r="D1741" s="19" t="n"/>
      <c r="E1741" s="20" t="n"/>
      <c r="F1741" s="20" t="n"/>
      <c r="G1741" s="19" t="n"/>
      <c r="H1741" s="21">
        <f>IF(A1741="","",YEAR(A1741)*100+MONTH(A1741))</f>
        <v/>
      </c>
    </row>
    <row r="1742">
      <c r="A1742" s="18" t="n"/>
      <c r="B1742" s="19" t="n"/>
      <c r="C1742" s="19" t="n"/>
      <c r="D1742" s="19" t="n"/>
      <c r="E1742" s="20" t="n"/>
      <c r="F1742" s="20" t="n"/>
      <c r="G1742" s="19" t="n"/>
      <c r="H1742" s="21">
        <f>IF(A1742="","",YEAR(A1742)*100+MONTH(A1742))</f>
        <v/>
      </c>
    </row>
    <row r="1743">
      <c r="A1743" s="18" t="n"/>
      <c r="B1743" s="19" t="n"/>
      <c r="C1743" s="19" t="n"/>
      <c r="D1743" s="19" t="n"/>
      <c r="E1743" s="20" t="n"/>
      <c r="F1743" s="20" t="n"/>
      <c r="G1743" s="19" t="n"/>
      <c r="H1743" s="21">
        <f>IF(A1743="","",YEAR(A1743)*100+MONTH(A1743))</f>
        <v/>
      </c>
    </row>
    <row r="1744">
      <c r="A1744" s="18" t="n"/>
      <c r="B1744" s="19" t="n"/>
      <c r="C1744" s="19" t="n"/>
      <c r="D1744" s="19" t="n"/>
      <c r="E1744" s="20" t="n"/>
      <c r="F1744" s="20" t="n"/>
      <c r="G1744" s="19" t="n"/>
      <c r="H1744" s="21">
        <f>IF(A1744="","",YEAR(A1744)*100+MONTH(A1744))</f>
        <v/>
      </c>
    </row>
    <row r="1745">
      <c r="A1745" s="18" t="n"/>
      <c r="B1745" s="19" t="n"/>
      <c r="C1745" s="19" t="n"/>
      <c r="D1745" s="19" t="n"/>
      <c r="E1745" s="20" t="n"/>
      <c r="F1745" s="20" t="n"/>
      <c r="G1745" s="19" t="n"/>
      <c r="H1745" s="21">
        <f>IF(A1745="","",YEAR(A1745)*100+MONTH(A1745))</f>
        <v/>
      </c>
    </row>
    <row r="1746">
      <c r="A1746" s="18" t="n"/>
      <c r="B1746" s="19" t="n"/>
      <c r="C1746" s="19" t="n"/>
      <c r="D1746" s="19" t="n"/>
      <c r="E1746" s="20" t="n"/>
      <c r="F1746" s="20" t="n"/>
      <c r="G1746" s="19" t="n"/>
      <c r="H1746" s="21">
        <f>IF(A1746="","",YEAR(A1746)*100+MONTH(A1746))</f>
        <v/>
      </c>
    </row>
    <row r="1747">
      <c r="A1747" s="18" t="n"/>
      <c r="B1747" s="19" t="n"/>
      <c r="C1747" s="19" t="n"/>
      <c r="D1747" s="19" t="n"/>
      <c r="E1747" s="20" t="n"/>
      <c r="F1747" s="20" t="n"/>
      <c r="G1747" s="19" t="n"/>
      <c r="H1747" s="21">
        <f>IF(A1747="","",YEAR(A1747)*100+MONTH(A1747))</f>
        <v/>
      </c>
    </row>
    <row r="1748">
      <c r="A1748" s="18" t="n"/>
      <c r="B1748" s="19" t="n"/>
      <c r="C1748" s="19" t="n"/>
      <c r="D1748" s="19" t="n"/>
      <c r="E1748" s="20" t="n"/>
      <c r="F1748" s="20" t="n"/>
      <c r="G1748" s="19" t="n"/>
      <c r="H1748" s="21">
        <f>IF(A1748="","",YEAR(A1748)*100+MONTH(A1748))</f>
        <v/>
      </c>
    </row>
    <row r="1749">
      <c r="A1749" s="18" t="n"/>
      <c r="B1749" s="19" t="n"/>
      <c r="C1749" s="19" t="n"/>
      <c r="D1749" s="19" t="n"/>
      <c r="E1749" s="20" t="n"/>
      <c r="F1749" s="20" t="n"/>
      <c r="G1749" s="19" t="n"/>
      <c r="H1749" s="21">
        <f>IF(A1749="","",YEAR(A1749)*100+MONTH(A1749))</f>
        <v/>
      </c>
    </row>
    <row r="1750">
      <c r="A1750" s="18" t="n"/>
      <c r="B1750" s="19" t="n"/>
      <c r="C1750" s="19" t="n"/>
      <c r="D1750" s="19" t="n"/>
      <c r="E1750" s="20" t="n"/>
      <c r="F1750" s="20" t="n"/>
      <c r="G1750" s="19" t="n"/>
      <c r="H1750" s="21">
        <f>IF(A1750="","",YEAR(A1750)*100+MONTH(A1750))</f>
        <v/>
      </c>
    </row>
    <row r="1751">
      <c r="A1751" s="18" t="n"/>
      <c r="B1751" s="19" t="n"/>
      <c r="C1751" s="19" t="n"/>
      <c r="D1751" s="19" t="n"/>
      <c r="E1751" s="20" t="n"/>
      <c r="F1751" s="20" t="n"/>
      <c r="G1751" s="19" t="n"/>
      <c r="H1751" s="21">
        <f>IF(A1751="","",YEAR(A1751)*100+MONTH(A1751))</f>
        <v/>
      </c>
    </row>
    <row r="1752">
      <c r="A1752" s="18" t="n"/>
      <c r="B1752" s="19" t="n"/>
      <c r="C1752" s="19" t="n"/>
      <c r="D1752" s="19" t="n"/>
      <c r="E1752" s="20" t="n"/>
      <c r="F1752" s="20" t="n"/>
      <c r="G1752" s="19" t="n"/>
      <c r="H1752" s="21">
        <f>IF(A1752="","",YEAR(A1752)*100+MONTH(A1752))</f>
        <v/>
      </c>
    </row>
    <row r="1753">
      <c r="A1753" s="18" t="n"/>
      <c r="B1753" s="19" t="n"/>
      <c r="C1753" s="19" t="n"/>
      <c r="D1753" s="19" t="n"/>
      <c r="E1753" s="20" t="n"/>
      <c r="F1753" s="20" t="n"/>
      <c r="G1753" s="19" t="n"/>
      <c r="H1753" s="21">
        <f>IF(A1753="","",YEAR(A1753)*100+MONTH(A1753))</f>
        <v/>
      </c>
    </row>
    <row r="1754">
      <c r="A1754" s="18" t="n"/>
      <c r="B1754" s="19" t="n"/>
      <c r="C1754" s="19" t="n"/>
      <c r="D1754" s="19" t="n"/>
      <c r="E1754" s="20" t="n"/>
      <c r="F1754" s="20" t="n"/>
      <c r="G1754" s="19" t="n"/>
      <c r="H1754" s="21">
        <f>IF(A1754="","",YEAR(A1754)*100+MONTH(A1754))</f>
        <v/>
      </c>
    </row>
    <row r="1755">
      <c r="A1755" s="18" t="n"/>
      <c r="B1755" s="19" t="n"/>
      <c r="C1755" s="19" t="n"/>
      <c r="D1755" s="19" t="n"/>
      <c r="E1755" s="20" t="n"/>
      <c r="F1755" s="20" t="n"/>
      <c r="G1755" s="19" t="n"/>
      <c r="H1755" s="21">
        <f>IF(A1755="","",YEAR(A1755)*100+MONTH(A1755))</f>
        <v/>
      </c>
    </row>
    <row r="1756">
      <c r="A1756" s="18" t="n"/>
      <c r="B1756" s="19" t="n"/>
      <c r="C1756" s="19" t="n"/>
      <c r="D1756" s="19" t="n"/>
      <c r="E1756" s="20" t="n"/>
      <c r="F1756" s="20" t="n"/>
      <c r="G1756" s="19" t="n"/>
      <c r="H1756" s="21">
        <f>IF(A1756="","",YEAR(A1756)*100+MONTH(A1756))</f>
        <v/>
      </c>
    </row>
    <row r="1757">
      <c r="A1757" s="18" t="n"/>
      <c r="B1757" s="19" t="n"/>
      <c r="C1757" s="19" t="n"/>
      <c r="D1757" s="19" t="n"/>
      <c r="E1757" s="20" t="n"/>
      <c r="F1757" s="20" t="n"/>
      <c r="G1757" s="19" t="n"/>
      <c r="H1757" s="21">
        <f>IF(A1757="","",YEAR(A1757)*100+MONTH(A1757))</f>
        <v/>
      </c>
    </row>
    <row r="1758">
      <c r="A1758" s="18" t="n"/>
      <c r="B1758" s="19" t="n"/>
      <c r="C1758" s="19" t="n"/>
      <c r="D1758" s="19" t="n"/>
      <c r="E1758" s="20" t="n"/>
      <c r="F1758" s="20" t="n"/>
      <c r="G1758" s="19" t="n"/>
      <c r="H1758" s="21">
        <f>IF(A1758="","",YEAR(A1758)*100+MONTH(A1758))</f>
        <v/>
      </c>
    </row>
    <row r="1759">
      <c r="A1759" s="18" t="n"/>
      <c r="B1759" s="19" t="n"/>
      <c r="C1759" s="19" t="n"/>
      <c r="D1759" s="19" t="n"/>
      <c r="E1759" s="20" t="n"/>
      <c r="F1759" s="20" t="n"/>
      <c r="G1759" s="19" t="n"/>
      <c r="H1759" s="21">
        <f>IF(A1759="","",YEAR(A1759)*100+MONTH(A1759))</f>
        <v/>
      </c>
    </row>
    <row r="1760">
      <c r="A1760" s="18" t="n"/>
      <c r="B1760" s="19" t="n"/>
      <c r="C1760" s="19" t="n"/>
      <c r="D1760" s="19" t="n"/>
      <c r="E1760" s="20" t="n"/>
      <c r="F1760" s="20" t="n"/>
      <c r="G1760" s="19" t="n"/>
      <c r="H1760" s="21">
        <f>IF(A1760="","",YEAR(A1760)*100+MONTH(A1760))</f>
        <v/>
      </c>
    </row>
    <row r="1761">
      <c r="A1761" s="18" t="n"/>
      <c r="B1761" s="19" t="n"/>
      <c r="C1761" s="19" t="n"/>
      <c r="D1761" s="19" t="n"/>
      <c r="E1761" s="20" t="n"/>
      <c r="F1761" s="20" t="n"/>
      <c r="G1761" s="19" t="n"/>
      <c r="H1761" s="21">
        <f>IF(A1761="","",YEAR(A1761)*100+MONTH(A1761))</f>
        <v/>
      </c>
    </row>
    <row r="1762">
      <c r="A1762" s="18" t="n"/>
      <c r="B1762" s="19" t="n"/>
      <c r="C1762" s="19" t="n"/>
      <c r="D1762" s="19" t="n"/>
      <c r="E1762" s="20" t="n"/>
      <c r="F1762" s="20" t="n"/>
      <c r="G1762" s="19" t="n"/>
      <c r="H1762" s="21">
        <f>IF(A1762="","",YEAR(A1762)*100+MONTH(A1762))</f>
        <v/>
      </c>
    </row>
    <row r="1763">
      <c r="A1763" s="18" t="n"/>
      <c r="B1763" s="19" t="n"/>
      <c r="C1763" s="19" t="n"/>
      <c r="D1763" s="19" t="n"/>
      <c r="E1763" s="20" t="n"/>
      <c r="F1763" s="20" t="n"/>
      <c r="G1763" s="19" t="n"/>
      <c r="H1763" s="21">
        <f>IF(A1763="","",YEAR(A1763)*100+MONTH(A1763))</f>
        <v/>
      </c>
    </row>
    <row r="1764">
      <c r="A1764" s="18" t="n"/>
      <c r="B1764" s="19" t="n"/>
      <c r="C1764" s="19" t="n"/>
      <c r="D1764" s="19" t="n"/>
      <c r="E1764" s="20" t="n"/>
      <c r="F1764" s="20" t="n"/>
      <c r="G1764" s="19" t="n"/>
      <c r="H1764" s="21">
        <f>IF(A1764="","",YEAR(A1764)*100+MONTH(A1764))</f>
        <v/>
      </c>
    </row>
    <row r="1765">
      <c r="A1765" s="18" t="n"/>
      <c r="B1765" s="19" t="n"/>
      <c r="C1765" s="19" t="n"/>
      <c r="D1765" s="19" t="n"/>
      <c r="E1765" s="20" t="n"/>
      <c r="F1765" s="20" t="n"/>
      <c r="G1765" s="19" t="n"/>
      <c r="H1765" s="21">
        <f>IF(A1765="","",YEAR(A1765)*100+MONTH(A1765))</f>
        <v/>
      </c>
    </row>
    <row r="1766">
      <c r="A1766" s="18" t="n"/>
      <c r="B1766" s="19" t="n"/>
      <c r="C1766" s="19" t="n"/>
      <c r="D1766" s="19" t="n"/>
      <c r="E1766" s="20" t="n"/>
      <c r="F1766" s="20" t="n"/>
      <c r="G1766" s="19" t="n"/>
      <c r="H1766" s="21">
        <f>IF(A1766="","",YEAR(A1766)*100+MONTH(A1766))</f>
        <v/>
      </c>
    </row>
    <row r="1767">
      <c r="A1767" s="18" t="n"/>
      <c r="B1767" s="19" t="n"/>
      <c r="C1767" s="19" t="n"/>
      <c r="D1767" s="19" t="n"/>
      <c r="E1767" s="20" t="n"/>
      <c r="F1767" s="20" t="n"/>
      <c r="G1767" s="19" t="n"/>
      <c r="H1767" s="21">
        <f>IF(A1767="","",YEAR(A1767)*100+MONTH(A1767))</f>
        <v/>
      </c>
    </row>
    <row r="1768">
      <c r="A1768" s="18" t="n"/>
      <c r="B1768" s="19" t="n"/>
      <c r="C1768" s="19" t="n"/>
      <c r="D1768" s="19" t="n"/>
      <c r="E1768" s="20" t="n"/>
      <c r="F1768" s="20" t="n"/>
      <c r="G1768" s="19" t="n"/>
      <c r="H1768" s="21">
        <f>IF(A1768="","",YEAR(A1768)*100+MONTH(A1768))</f>
        <v/>
      </c>
    </row>
    <row r="1769">
      <c r="A1769" s="18" t="n"/>
      <c r="B1769" s="19" t="n"/>
      <c r="C1769" s="19" t="n"/>
      <c r="D1769" s="19" t="n"/>
      <c r="E1769" s="20" t="n"/>
      <c r="F1769" s="20" t="n"/>
      <c r="G1769" s="19" t="n"/>
      <c r="H1769" s="21">
        <f>IF(A1769="","",YEAR(A1769)*100+MONTH(A1769))</f>
        <v/>
      </c>
    </row>
    <row r="1770">
      <c r="A1770" s="18" t="n"/>
      <c r="B1770" s="19" t="n"/>
      <c r="C1770" s="19" t="n"/>
      <c r="D1770" s="19" t="n"/>
      <c r="E1770" s="20" t="n"/>
      <c r="F1770" s="20" t="n"/>
      <c r="G1770" s="19" t="n"/>
      <c r="H1770" s="21">
        <f>IF(A1770="","",YEAR(A1770)*100+MONTH(A1770))</f>
        <v/>
      </c>
    </row>
    <row r="1771">
      <c r="A1771" s="18" t="n"/>
      <c r="B1771" s="19" t="n"/>
      <c r="C1771" s="19" t="n"/>
      <c r="D1771" s="19" t="n"/>
      <c r="E1771" s="20" t="n"/>
      <c r="F1771" s="20" t="n"/>
      <c r="G1771" s="19" t="n"/>
      <c r="H1771" s="21">
        <f>IF(A1771="","",YEAR(A1771)*100+MONTH(A1771))</f>
        <v/>
      </c>
    </row>
    <row r="1772">
      <c r="A1772" s="18" t="n"/>
      <c r="B1772" s="19" t="n"/>
      <c r="C1772" s="19" t="n"/>
      <c r="D1772" s="19" t="n"/>
      <c r="E1772" s="20" t="n"/>
      <c r="F1772" s="20" t="n"/>
      <c r="G1772" s="19" t="n"/>
      <c r="H1772" s="21">
        <f>IF(A1772="","",YEAR(A1772)*100+MONTH(A1772))</f>
        <v/>
      </c>
    </row>
    <row r="1773">
      <c r="A1773" s="18" t="n"/>
      <c r="B1773" s="19" t="n"/>
      <c r="C1773" s="19" t="n"/>
      <c r="D1773" s="19" t="n"/>
      <c r="E1773" s="20" t="n"/>
      <c r="F1773" s="20" t="n"/>
      <c r="G1773" s="19" t="n"/>
      <c r="H1773" s="21">
        <f>IF(A1773="","",YEAR(A1773)*100+MONTH(A1773))</f>
        <v/>
      </c>
    </row>
    <row r="1774">
      <c r="A1774" s="18" t="n"/>
      <c r="B1774" s="19" t="n"/>
      <c r="C1774" s="19" t="n"/>
      <c r="D1774" s="19" t="n"/>
      <c r="E1774" s="20" t="n"/>
      <c r="F1774" s="20" t="n"/>
      <c r="G1774" s="19" t="n"/>
      <c r="H1774" s="21">
        <f>IF(A1774="","",YEAR(A1774)*100+MONTH(A1774))</f>
        <v/>
      </c>
    </row>
    <row r="1775">
      <c r="A1775" s="18" t="n"/>
      <c r="B1775" s="19" t="n"/>
      <c r="C1775" s="19" t="n"/>
      <c r="D1775" s="19" t="n"/>
      <c r="E1775" s="20" t="n"/>
      <c r="F1775" s="20" t="n"/>
      <c r="G1775" s="19" t="n"/>
      <c r="H1775" s="21">
        <f>IF(A1775="","",YEAR(A1775)*100+MONTH(A1775))</f>
        <v/>
      </c>
    </row>
    <row r="1776">
      <c r="A1776" s="18" t="n"/>
      <c r="B1776" s="19" t="n"/>
      <c r="C1776" s="19" t="n"/>
      <c r="D1776" s="19" t="n"/>
      <c r="E1776" s="20" t="n"/>
      <c r="F1776" s="20" t="n"/>
      <c r="G1776" s="19" t="n"/>
      <c r="H1776" s="21">
        <f>IF(A1776="","",YEAR(A1776)*100+MONTH(A1776))</f>
        <v/>
      </c>
    </row>
    <row r="1777">
      <c r="A1777" s="18" t="n"/>
      <c r="B1777" s="19" t="n"/>
      <c r="C1777" s="19" t="n"/>
      <c r="D1777" s="19" t="n"/>
      <c r="E1777" s="20" t="n"/>
      <c r="F1777" s="20" t="n"/>
      <c r="G1777" s="19" t="n"/>
      <c r="H1777" s="21">
        <f>IF(A1777="","",YEAR(A1777)*100+MONTH(A1777))</f>
        <v/>
      </c>
    </row>
    <row r="1778">
      <c r="A1778" s="18" t="n"/>
      <c r="B1778" s="19" t="n"/>
      <c r="C1778" s="19" t="n"/>
      <c r="D1778" s="19" t="n"/>
      <c r="E1778" s="20" t="n"/>
      <c r="F1778" s="20" t="n"/>
      <c r="G1778" s="19" t="n"/>
      <c r="H1778" s="21">
        <f>IF(A1778="","",YEAR(A1778)*100+MONTH(A1778))</f>
        <v/>
      </c>
    </row>
    <row r="1779">
      <c r="A1779" s="18" t="n"/>
      <c r="B1779" s="19" t="n"/>
      <c r="C1779" s="19" t="n"/>
      <c r="D1779" s="19" t="n"/>
      <c r="E1779" s="20" t="n"/>
      <c r="F1779" s="20" t="n"/>
      <c r="G1779" s="19" t="n"/>
      <c r="H1779" s="21">
        <f>IF(A1779="","",YEAR(A1779)*100+MONTH(A1779))</f>
        <v/>
      </c>
    </row>
    <row r="1780">
      <c r="A1780" s="18" t="n"/>
      <c r="B1780" s="19" t="n"/>
      <c r="C1780" s="19" t="n"/>
      <c r="D1780" s="19" t="n"/>
      <c r="E1780" s="20" t="n"/>
      <c r="F1780" s="20" t="n"/>
      <c r="G1780" s="19" t="n"/>
      <c r="H1780" s="21">
        <f>IF(A1780="","",YEAR(A1780)*100+MONTH(A1780))</f>
        <v/>
      </c>
    </row>
    <row r="1781">
      <c r="A1781" s="18" t="n"/>
      <c r="B1781" s="19" t="n"/>
      <c r="C1781" s="19" t="n"/>
      <c r="D1781" s="19" t="n"/>
      <c r="E1781" s="20" t="n"/>
      <c r="F1781" s="20" t="n"/>
      <c r="G1781" s="19" t="n"/>
      <c r="H1781" s="21">
        <f>IF(A1781="","",YEAR(A1781)*100+MONTH(A1781))</f>
        <v/>
      </c>
    </row>
    <row r="1782">
      <c r="A1782" s="18" t="n"/>
      <c r="B1782" s="19" t="n"/>
      <c r="C1782" s="19" t="n"/>
      <c r="D1782" s="19" t="n"/>
      <c r="E1782" s="20" t="n"/>
      <c r="F1782" s="20" t="n"/>
      <c r="G1782" s="19" t="n"/>
      <c r="H1782" s="21">
        <f>IF(A1782="","",YEAR(A1782)*100+MONTH(A1782))</f>
        <v/>
      </c>
    </row>
    <row r="1783">
      <c r="A1783" s="18" t="n"/>
      <c r="B1783" s="19" t="n"/>
      <c r="C1783" s="19" t="n"/>
      <c r="D1783" s="19" t="n"/>
      <c r="E1783" s="20" t="n"/>
      <c r="F1783" s="20" t="n"/>
      <c r="G1783" s="19" t="n"/>
      <c r="H1783" s="21">
        <f>IF(A1783="","",YEAR(A1783)*100+MONTH(A1783))</f>
        <v/>
      </c>
    </row>
    <row r="1784">
      <c r="A1784" s="18" t="n"/>
      <c r="B1784" s="19" t="n"/>
      <c r="C1784" s="19" t="n"/>
      <c r="D1784" s="19" t="n"/>
      <c r="E1784" s="20" t="n"/>
      <c r="F1784" s="20" t="n"/>
      <c r="G1784" s="19" t="n"/>
      <c r="H1784" s="21">
        <f>IF(A1784="","",YEAR(A1784)*100+MONTH(A1784))</f>
        <v/>
      </c>
    </row>
    <row r="1785">
      <c r="A1785" s="18" t="n"/>
      <c r="B1785" s="19" t="n"/>
      <c r="C1785" s="19" t="n"/>
      <c r="D1785" s="19" t="n"/>
      <c r="E1785" s="20" t="n"/>
      <c r="F1785" s="20" t="n"/>
      <c r="G1785" s="19" t="n"/>
      <c r="H1785" s="21">
        <f>IF(A1785="","",YEAR(A1785)*100+MONTH(A1785))</f>
        <v/>
      </c>
    </row>
    <row r="1786">
      <c r="A1786" s="18" t="n"/>
      <c r="B1786" s="19" t="n"/>
      <c r="C1786" s="19" t="n"/>
      <c r="D1786" s="19" t="n"/>
      <c r="E1786" s="20" t="n"/>
      <c r="F1786" s="20" t="n"/>
      <c r="G1786" s="19" t="n"/>
      <c r="H1786" s="21">
        <f>IF(A1786="","",YEAR(A1786)*100+MONTH(A1786))</f>
        <v/>
      </c>
    </row>
    <row r="1787">
      <c r="A1787" s="18" t="n"/>
      <c r="B1787" s="19" t="n"/>
      <c r="C1787" s="19" t="n"/>
      <c r="D1787" s="19" t="n"/>
      <c r="E1787" s="20" t="n"/>
      <c r="F1787" s="20" t="n"/>
      <c r="G1787" s="19" t="n"/>
      <c r="H1787" s="21">
        <f>IF(A1787="","",YEAR(A1787)*100+MONTH(A1787))</f>
        <v/>
      </c>
    </row>
    <row r="1788">
      <c r="A1788" s="18" t="n"/>
      <c r="B1788" s="19" t="n"/>
      <c r="C1788" s="19" t="n"/>
      <c r="D1788" s="19" t="n"/>
      <c r="E1788" s="20" t="n"/>
      <c r="F1788" s="20" t="n"/>
      <c r="G1788" s="19" t="n"/>
      <c r="H1788" s="21">
        <f>IF(A1788="","",YEAR(A1788)*100+MONTH(A1788))</f>
        <v/>
      </c>
    </row>
    <row r="1789">
      <c r="A1789" s="18" t="n"/>
      <c r="B1789" s="19" t="n"/>
      <c r="C1789" s="19" t="n"/>
      <c r="D1789" s="19" t="n"/>
      <c r="E1789" s="20" t="n"/>
      <c r="F1789" s="20" t="n"/>
      <c r="G1789" s="19" t="n"/>
      <c r="H1789" s="21">
        <f>IF(A1789="","",YEAR(A1789)*100+MONTH(A1789))</f>
        <v/>
      </c>
    </row>
    <row r="1790">
      <c r="A1790" s="18" t="n"/>
      <c r="B1790" s="19" t="n"/>
      <c r="C1790" s="19" t="n"/>
      <c r="D1790" s="19" t="n"/>
      <c r="E1790" s="20" t="n"/>
      <c r="F1790" s="20" t="n"/>
      <c r="G1790" s="19" t="n"/>
      <c r="H1790" s="21">
        <f>IF(A1790="","",YEAR(A1790)*100+MONTH(A1790))</f>
        <v/>
      </c>
    </row>
    <row r="1791">
      <c r="A1791" s="18" t="n"/>
      <c r="B1791" s="19" t="n"/>
      <c r="C1791" s="19" t="n"/>
      <c r="D1791" s="19" t="n"/>
      <c r="E1791" s="20" t="n"/>
      <c r="F1791" s="20" t="n"/>
      <c r="G1791" s="19" t="n"/>
      <c r="H1791" s="21">
        <f>IF(A1791="","",YEAR(A1791)*100+MONTH(A1791))</f>
        <v/>
      </c>
    </row>
    <row r="1792">
      <c r="A1792" s="18" t="n"/>
      <c r="B1792" s="19" t="n"/>
      <c r="C1792" s="19" t="n"/>
      <c r="D1792" s="19" t="n"/>
      <c r="E1792" s="20" t="n"/>
      <c r="F1792" s="20" t="n"/>
      <c r="G1792" s="19" t="n"/>
      <c r="H1792" s="21">
        <f>IF(A1792="","",YEAR(A1792)*100+MONTH(A1792))</f>
        <v/>
      </c>
    </row>
    <row r="1793">
      <c r="A1793" s="18" t="n"/>
      <c r="B1793" s="19" t="n"/>
      <c r="C1793" s="19" t="n"/>
      <c r="D1793" s="19" t="n"/>
      <c r="E1793" s="20" t="n"/>
      <c r="F1793" s="20" t="n"/>
      <c r="G1793" s="19" t="n"/>
      <c r="H1793" s="21">
        <f>IF(A1793="","",YEAR(A1793)*100+MONTH(A1793))</f>
        <v/>
      </c>
    </row>
    <row r="1794">
      <c r="A1794" s="18" t="n"/>
      <c r="B1794" s="19" t="n"/>
      <c r="C1794" s="19" t="n"/>
      <c r="D1794" s="19" t="n"/>
      <c r="E1794" s="20" t="n"/>
      <c r="F1794" s="20" t="n"/>
      <c r="G1794" s="19" t="n"/>
      <c r="H1794" s="21">
        <f>IF(A1794="","",YEAR(A1794)*100+MONTH(A1794))</f>
        <v/>
      </c>
    </row>
    <row r="1795">
      <c r="A1795" s="18" t="n"/>
      <c r="B1795" s="19" t="n"/>
      <c r="C1795" s="19" t="n"/>
      <c r="D1795" s="19" t="n"/>
      <c r="E1795" s="20" t="n"/>
      <c r="F1795" s="20" t="n"/>
      <c r="G1795" s="19" t="n"/>
      <c r="H1795" s="21">
        <f>IF(A1795="","",YEAR(A1795)*100+MONTH(A1795))</f>
        <v/>
      </c>
    </row>
    <row r="1796">
      <c r="A1796" s="18" t="n"/>
      <c r="B1796" s="19" t="n"/>
      <c r="C1796" s="19" t="n"/>
      <c r="D1796" s="19" t="n"/>
      <c r="E1796" s="20" t="n"/>
      <c r="F1796" s="20" t="n"/>
      <c r="G1796" s="19" t="n"/>
      <c r="H1796" s="21">
        <f>IF(A1796="","",YEAR(A1796)*100+MONTH(A1796))</f>
        <v/>
      </c>
    </row>
    <row r="1797">
      <c r="A1797" s="18" t="n"/>
      <c r="B1797" s="19" t="n"/>
      <c r="C1797" s="19" t="n"/>
      <c r="D1797" s="19" t="n"/>
      <c r="E1797" s="20" t="n"/>
      <c r="F1797" s="20" t="n"/>
      <c r="G1797" s="19" t="n"/>
      <c r="H1797" s="21">
        <f>IF(A1797="","",YEAR(A1797)*100+MONTH(A1797))</f>
        <v/>
      </c>
    </row>
    <row r="1798">
      <c r="A1798" s="18" t="n"/>
      <c r="B1798" s="19" t="n"/>
      <c r="C1798" s="19" t="n"/>
      <c r="D1798" s="19" t="n"/>
      <c r="E1798" s="20" t="n"/>
      <c r="F1798" s="20" t="n"/>
      <c r="G1798" s="19" t="n"/>
      <c r="H1798" s="21">
        <f>IF(A1798="","",YEAR(A1798)*100+MONTH(A1798))</f>
        <v/>
      </c>
    </row>
    <row r="1799">
      <c r="A1799" s="18" t="n"/>
      <c r="B1799" s="19" t="n"/>
      <c r="C1799" s="19" t="n"/>
      <c r="D1799" s="19" t="n"/>
      <c r="E1799" s="20" t="n"/>
      <c r="F1799" s="20" t="n"/>
      <c r="G1799" s="19" t="n"/>
      <c r="H1799" s="21">
        <f>IF(A1799="","",YEAR(A1799)*100+MONTH(A1799))</f>
        <v/>
      </c>
    </row>
    <row r="1800">
      <c r="A1800" s="18" t="n"/>
      <c r="B1800" s="19" t="n"/>
      <c r="C1800" s="19" t="n"/>
      <c r="D1800" s="19" t="n"/>
      <c r="E1800" s="20" t="n"/>
      <c r="F1800" s="20" t="n"/>
      <c r="G1800" s="19" t="n"/>
      <c r="H1800" s="21">
        <f>IF(A1800="","",YEAR(A1800)*100+MONTH(A1800))</f>
        <v/>
      </c>
    </row>
    <row r="1801">
      <c r="A1801" s="18" t="n"/>
      <c r="B1801" s="19" t="n"/>
      <c r="C1801" s="19" t="n"/>
      <c r="D1801" s="19" t="n"/>
      <c r="E1801" s="20" t="n"/>
      <c r="F1801" s="20" t="n"/>
      <c r="G1801" s="19" t="n"/>
      <c r="H1801" s="21">
        <f>IF(A1801="","",YEAR(A1801)*100+MONTH(A1801))</f>
        <v/>
      </c>
    </row>
    <row r="1802">
      <c r="A1802" s="18" t="n"/>
      <c r="B1802" s="19" t="n"/>
      <c r="C1802" s="19" t="n"/>
      <c r="D1802" s="19" t="n"/>
      <c r="E1802" s="20" t="n"/>
      <c r="F1802" s="20" t="n"/>
      <c r="G1802" s="19" t="n"/>
      <c r="H1802" s="21">
        <f>IF(A1802="","",YEAR(A1802)*100+MONTH(A1802))</f>
        <v/>
      </c>
    </row>
    <row r="1803">
      <c r="A1803" s="18" t="n"/>
      <c r="B1803" s="19" t="n"/>
      <c r="C1803" s="19" t="n"/>
      <c r="D1803" s="19" t="n"/>
      <c r="E1803" s="20" t="n"/>
      <c r="F1803" s="20" t="n"/>
      <c r="G1803" s="19" t="n"/>
      <c r="H1803" s="21">
        <f>IF(A1803="","",YEAR(A1803)*100+MONTH(A1803))</f>
        <v/>
      </c>
    </row>
    <row r="1804">
      <c r="A1804" s="18" t="n"/>
      <c r="B1804" s="19" t="n"/>
      <c r="C1804" s="19" t="n"/>
      <c r="D1804" s="19" t="n"/>
      <c r="E1804" s="20" t="n"/>
      <c r="F1804" s="20" t="n"/>
      <c r="G1804" s="19" t="n"/>
      <c r="H1804" s="21">
        <f>IF(A1804="","",YEAR(A1804)*100+MONTH(A1804))</f>
        <v/>
      </c>
    </row>
    <row r="1805">
      <c r="A1805" s="18" t="n"/>
      <c r="B1805" s="19" t="n"/>
      <c r="C1805" s="19" t="n"/>
      <c r="D1805" s="19" t="n"/>
      <c r="E1805" s="20" t="n"/>
      <c r="F1805" s="20" t="n"/>
      <c r="G1805" s="19" t="n"/>
      <c r="H1805" s="21">
        <f>IF(A1805="","",YEAR(A1805)*100+MONTH(A1805))</f>
        <v/>
      </c>
    </row>
    <row r="1806">
      <c r="A1806" s="18" t="n"/>
      <c r="B1806" s="19" t="n"/>
      <c r="C1806" s="19" t="n"/>
      <c r="D1806" s="19" t="n"/>
      <c r="E1806" s="20" t="n"/>
      <c r="F1806" s="20" t="n"/>
      <c r="G1806" s="19" t="n"/>
      <c r="H1806" s="21">
        <f>IF(A1806="","",YEAR(A1806)*100+MONTH(A1806))</f>
        <v/>
      </c>
    </row>
    <row r="1807">
      <c r="A1807" s="18" t="n"/>
      <c r="B1807" s="19" t="n"/>
      <c r="C1807" s="19" t="n"/>
      <c r="D1807" s="19" t="n"/>
      <c r="E1807" s="20" t="n"/>
      <c r="F1807" s="20" t="n"/>
      <c r="G1807" s="19" t="n"/>
      <c r="H1807" s="21">
        <f>IF(A1807="","",YEAR(A1807)*100+MONTH(A1807))</f>
        <v/>
      </c>
    </row>
    <row r="1808">
      <c r="A1808" s="18" t="n"/>
      <c r="B1808" s="19" t="n"/>
      <c r="C1808" s="19" t="n"/>
      <c r="D1808" s="19" t="n"/>
      <c r="E1808" s="20" t="n"/>
      <c r="F1808" s="20" t="n"/>
      <c r="G1808" s="19" t="n"/>
      <c r="H1808" s="21">
        <f>IF(A1808="","",YEAR(A1808)*100+MONTH(A1808))</f>
        <v/>
      </c>
    </row>
    <row r="1809">
      <c r="A1809" s="18" t="n"/>
      <c r="B1809" s="19" t="n"/>
      <c r="C1809" s="19" t="n"/>
      <c r="D1809" s="19" t="n"/>
      <c r="E1809" s="20" t="n"/>
      <c r="F1809" s="20" t="n"/>
      <c r="G1809" s="19" t="n"/>
      <c r="H1809" s="21">
        <f>IF(A1809="","",YEAR(A1809)*100+MONTH(A1809))</f>
        <v/>
      </c>
    </row>
    <row r="1810">
      <c r="A1810" s="18" t="n"/>
      <c r="B1810" s="19" t="n"/>
      <c r="C1810" s="19" t="n"/>
      <c r="D1810" s="19" t="n"/>
      <c r="E1810" s="20" t="n"/>
      <c r="F1810" s="20" t="n"/>
      <c r="G1810" s="19" t="n"/>
      <c r="H1810" s="21">
        <f>IF(A1810="","",YEAR(A1810)*100+MONTH(A1810))</f>
        <v/>
      </c>
    </row>
    <row r="1811">
      <c r="A1811" s="18" t="n"/>
      <c r="B1811" s="19" t="n"/>
      <c r="C1811" s="19" t="n"/>
      <c r="D1811" s="19" t="n"/>
      <c r="E1811" s="20" t="n"/>
      <c r="F1811" s="20" t="n"/>
      <c r="G1811" s="19" t="n"/>
      <c r="H1811" s="21">
        <f>IF(A1811="","",YEAR(A1811)*100+MONTH(A1811))</f>
        <v/>
      </c>
    </row>
    <row r="1812">
      <c r="A1812" s="18" t="n"/>
      <c r="B1812" s="19" t="n"/>
      <c r="C1812" s="19" t="n"/>
      <c r="D1812" s="19" t="n"/>
      <c r="E1812" s="20" t="n"/>
      <c r="F1812" s="20" t="n"/>
      <c r="G1812" s="19" t="n"/>
      <c r="H1812" s="21">
        <f>IF(A1812="","",YEAR(A1812)*100+MONTH(A1812))</f>
        <v/>
      </c>
    </row>
    <row r="1813">
      <c r="A1813" s="18" t="n"/>
      <c r="B1813" s="19" t="n"/>
      <c r="C1813" s="19" t="n"/>
      <c r="D1813" s="19" t="n"/>
      <c r="E1813" s="20" t="n"/>
      <c r="F1813" s="20" t="n"/>
      <c r="G1813" s="19" t="n"/>
      <c r="H1813" s="21">
        <f>IF(A1813="","",YEAR(A1813)*100+MONTH(A1813))</f>
        <v/>
      </c>
    </row>
    <row r="1814">
      <c r="A1814" s="18" t="n"/>
      <c r="B1814" s="19" t="n"/>
      <c r="C1814" s="19" t="n"/>
      <c r="D1814" s="19" t="n"/>
      <c r="E1814" s="20" t="n"/>
      <c r="F1814" s="20" t="n"/>
      <c r="G1814" s="19" t="n"/>
      <c r="H1814" s="21">
        <f>IF(A1814="","",YEAR(A1814)*100+MONTH(A1814))</f>
        <v/>
      </c>
    </row>
    <row r="1815">
      <c r="A1815" s="18" t="n"/>
      <c r="B1815" s="19" t="n"/>
      <c r="C1815" s="19" t="n"/>
      <c r="D1815" s="19" t="n"/>
      <c r="E1815" s="20" t="n"/>
      <c r="F1815" s="20" t="n"/>
      <c r="G1815" s="19" t="n"/>
      <c r="H1815" s="21">
        <f>IF(A1815="","",YEAR(A1815)*100+MONTH(A1815))</f>
        <v/>
      </c>
    </row>
    <row r="1816">
      <c r="A1816" s="18" t="n"/>
      <c r="B1816" s="19" t="n"/>
      <c r="C1816" s="19" t="n"/>
      <c r="D1816" s="19" t="n"/>
      <c r="E1816" s="20" t="n"/>
      <c r="F1816" s="20" t="n"/>
      <c r="G1816" s="19" t="n"/>
      <c r="H1816" s="21">
        <f>IF(A1816="","",YEAR(A1816)*100+MONTH(A1816))</f>
        <v/>
      </c>
    </row>
    <row r="1817">
      <c r="A1817" s="18" t="n"/>
      <c r="B1817" s="19" t="n"/>
      <c r="C1817" s="19" t="n"/>
      <c r="D1817" s="19" t="n"/>
      <c r="E1817" s="20" t="n"/>
      <c r="F1817" s="20" t="n"/>
      <c r="G1817" s="19" t="n"/>
      <c r="H1817" s="21">
        <f>IF(A1817="","",YEAR(A1817)*100+MONTH(A1817))</f>
        <v/>
      </c>
    </row>
    <row r="1818">
      <c r="A1818" s="18" t="n"/>
      <c r="B1818" s="19" t="n"/>
      <c r="C1818" s="19" t="n"/>
      <c r="D1818" s="19" t="n"/>
      <c r="E1818" s="20" t="n"/>
      <c r="F1818" s="20" t="n"/>
      <c r="G1818" s="19" t="n"/>
      <c r="H1818" s="21">
        <f>IF(A1818="","",YEAR(A1818)*100+MONTH(A1818))</f>
        <v/>
      </c>
    </row>
    <row r="1819">
      <c r="A1819" s="18" t="n"/>
      <c r="B1819" s="19" t="n"/>
      <c r="C1819" s="19" t="n"/>
      <c r="D1819" s="19" t="n"/>
      <c r="E1819" s="20" t="n"/>
      <c r="F1819" s="20" t="n"/>
      <c r="G1819" s="19" t="n"/>
      <c r="H1819" s="21">
        <f>IF(A1819="","",YEAR(A1819)*100+MONTH(A1819))</f>
        <v/>
      </c>
    </row>
    <row r="1820">
      <c r="A1820" s="18" t="n"/>
      <c r="B1820" s="19" t="n"/>
      <c r="C1820" s="19" t="n"/>
      <c r="D1820" s="19" t="n"/>
      <c r="E1820" s="20" t="n"/>
      <c r="F1820" s="20" t="n"/>
      <c r="G1820" s="19" t="n"/>
      <c r="H1820" s="21">
        <f>IF(A1820="","",YEAR(A1820)*100+MONTH(A1820))</f>
        <v/>
      </c>
    </row>
    <row r="1821">
      <c r="A1821" s="18" t="n"/>
      <c r="B1821" s="19" t="n"/>
      <c r="C1821" s="19" t="n"/>
      <c r="D1821" s="19" t="n"/>
      <c r="E1821" s="20" t="n"/>
      <c r="F1821" s="20" t="n"/>
      <c r="G1821" s="19" t="n"/>
      <c r="H1821" s="21">
        <f>IF(A1821="","",YEAR(A1821)*100+MONTH(A1821))</f>
        <v/>
      </c>
    </row>
    <row r="1822">
      <c r="A1822" s="18" t="n"/>
      <c r="B1822" s="19" t="n"/>
      <c r="C1822" s="19" t="n"/>
      <c r="D1822" s="19" t="n"/>
      <c r="E1822" s="20" t="n"/>
      <c r="F1822" s="20" t="n"/>
      <c r="G1822" s="19" t="n"/>
      <c r="H1822" s="21">
        <f>IF(A1822="","",YEAR(A1822)*100+MONTH(A1822))</f>
        <v/>
      </c>
    </row>
    <row r="1823">
      <c r="A1823" s="18" t="n"/>
      <c r="B1823" s="19" t="n"/>
      <c r="C1823" s="19" t="n"/>
      <c r="D1823" s="19" t="n"/>
      <c r="E1823" s="20" t="n"/>
      <c r="F1823" s="20" t="n"/>
      <c r="G1823" s="19" t="n"/>
      <c r="H1823" s="21">
        <f>IF(A1823="","",YEAR(A1823)*100+MONTH(A1823))</f>
        <v/>
      </c>
    </row>
    <row r="1824">
      <c r="A1824" s="18" t="n"/>
      <c r="B1824" s="19" t="n"/>
      <c r="C1824" s="19" t="n"/>
      <c r="D1824" s="19" t="n"/>
      <c r="E1824" s="20" t="n"/>
      <c r="F1824" s="20" t="n"/>
      <c r="G1824" s="19" t="n"/>
      <c r="H1824" s="21">
        <f>IF(A1824="","",YEAR(A1824)*100+MONTH(A1824))</f>
        <v/>
      </c>
    </row>
    <row r="1825">
      <c r="A1825" s="18" t="n"/>
      <c r="B1825" s="19" t="n"/>
      <c r="C1825" s="19" t="n"/>
      <c r="D1825" s="19" t="n"/>
      <c r="E1825" s="20" t="n"/>
      <c r="F1825" s="20" t="n"/>
      <c r="G1825" s="19" t="n"/>
      <c r="H1825" s="21">
        <f>IF(A1825="","",YEAR(A1825)*100+MONTH(A1825))</f>
        <v/>
      </c>
    </row>
    <row r="1826">
      <c r="A1826" s="18" t="n"/>
      <c r="B1826" s="19" t="n"/>
      <c r="C1826" s="19" t="n"/>
      <c r="D1826" s="19" t="n"/>
      <c r="E1826" s="20" t="n"/>
      <c r="F1826" s="20" t="n"/>
      <c r="G1826" s="19" t="n"/>
      <c r="H1826" s="21">
        <f>IF(A1826="","",YEAR(A1826)*100+MONTH(A1826))</f>
        <v/>
      </c>
    </row>
    <row r="1827">
      <c r="A1827" s="18" t="n"/>
      <c r="B1827" s="19" t="n"/>
      <c r="C1827" s="19" t="n"/>
      <c r="D1827" s="19" t="n"/>
      <c r="E1827" s="20" t="n"/>
      <c r="F1827" s="20" t="n"/>
      <c r="G1827" s="19" t="n"/>
      <c r="H1827" s="21">
        <f>IF(A1827="","",YEAR(A1827)*100+MONTH(A1827))</f>
        <v/>
      </c>
    </row>
    <row r="1828">
      <c r="A1828" s="18" t="n"/>
      <c r="B1828" s="19" t="n"/>
      <c r="C1828" s="19" t="n"/>
      <c r="D1828" s="19" t="n"/>
      <c r="E1828" s="20" t="n"/>
      <c r="F1828" s="20" t="n"/>
      <c r="G1828" s="19" t="n"/>
      <c r="H1828" s="21">
        <f>IF(A1828="","",YEAR(A1828)*100+MONTH(A1828))</f>
        <v/>
      </c>
    </row>
    <row r="1829">
      <c r="A1829" s="18" t="n"/>
      <c r="B1829" s="19" t="n"/>
      <c r="C1829" s="19" t="n"/>
      <c r="D1829" s="19" t="n"/>
      <c r="E1829" s="20" t="n"/>
      <c r="F1829" s="20" t="n"/>
      <c r="G1829" s="19" t="n"/>
      <c r="H1829" s="21">
        <f>IF(A1829="","",YEAR(A1829)*100+MONTH(A1829))</f>
        <v/>
      </c>
    </row>
    <row r="1830">
      <c r="A1830" s="18" t="n"/>
      <c r="B1830" s="19" t="n"/>
      <c r="C1830" s="19" t="n"/>
      <c r="D1830" s="19" t="n"/>
      <c r="E1830" s="20" t="n"/>
      <c r="F1830" s="20" t="n"/>
      <c r="G1830" s="19" t="n"/>
      <c r="H1830" s="21">
        <f>IF(A1830="","",YEAR(A1830)*100+MONTH(A1830))</f>
        <v/>
      </c>
    </row>
    <row r="1831">
      <c r="A1831" s="18" t="n"/>
      <c r="B1831" s="19" t="n"/>
      <c r="C1831" s="19" t="n"/>
      <c r="D1831" s="19" t="n"/>
      <c r="E1831" s="20" t="n"/>
      <c r="F1831" s="20" t="n"/>
      <c r="G1831" s="19" t="n"/>
      <c r="H1831" s="21">
        <f>IF(A1831="","",YEAR(A1831)*100+MONTH(A1831))</f>
        <v/>
      </c>
    </row>
    <row r="1832">
      <c r="A1832" s="18" t="n"/>
      <c r="B1832" s="19" t="n"/>
      <c r="C1832" s="19" t="n"/>
      <c r="D1832" s="19" t="n"/>
      <c r="E1832" s="20" t="n"/>
      <c r="F1832" s="20" t="n"/>
      <c r="G1832" s="19" t="n"/>
      <c r="H1832" s="21">
        <f>IF(A1832="","",YEAR(A1832)*100+MONTH(A1832))</f>
        <v/>
      </c>
    </row>
    <row r="1833">
      <c r="A1833" s="18" t="n"/>
      <c r="B1833" s="19" t="n"/>
      <c r="C1833" s="19" t="n"/>
      <c r="D1833" s="19" t="n"/>
      <c r="E1833" s="20" t="n"/>
      <c r="F1833" s="20" t="n"/>
      <c r="G1833" s="19" t="n"/>
      <c r="H1833" s="21">
        <f>IF(A1833="","",YEAR(A1833)*100+MONTH(A1833))</f>
        <v/>
      </c>
    </row>
    <row r="1834">
      <c r="A1834" s="18" t="n"/>
      <c r="B1834" s="19" t="n"/>
      <c r="C1834" s="19" t="n"/>
      <c r="D1834" s="19" t="n"/>
      <c r="E1834" s="20" t="n"/>
      <c r="F1834" s="20" t="n"/>
      <c r="G1834" s="19" t="n"/>
      <c r="H1834" s="21">
        <f>IF(A1834="","",YEAR(A1834)*100+MONTH(A1834))</f>
        <v/>
      </c>
    </row>
    <row r="1835">
      <c r="A1835" s="18" t="n"/>
      <c r="B1835" s="19" t="n"/>
      <c r="C1835" s="19" t="n"/>
      <c r="D1835" s="19" t="n"/>
      <c r="E1835" s="20" t="n"/>
      <c r="F1835" s="20" t="n"/>
      <c r="G1835" s="19" t="n"/>
      <c r="H1835" s="21">
        <f>IF(A1835="","",YEAR(A1835)*100+MONTH(A1835))</f>
        <v/>
      </c>
    </row>
    <row r="1836">
      <c r="A1836" s="18" t="n"/>
      <c r="B1836" s="19" t="n"/>
      <c r="C1836" s="19" t="n"/>
      <c r="D1836" s="19" t="n"/>
      <c r="E1836" s="20" t="n"/>
      <c r="F1836" s="20" t="n"/>
      <c r="G1836" s="19" t="n"/>
      <c r="H1836" s="21">
        <f>IF(A1836="","",YEAR(A1836)*100+MONTH(A1836))</f>
        <v/>
      </c>
    </row>
    <row r="1837">
      <c r="A1837" s="18" t="n"/>
      <c r="B1837" s="19" t="n"/>
      <c r="C1837" s="19" t="n"/>
      <c r="D1837" s="19" t="n"/>
      <c r="E1837" s="20" t="n"/>
      <c r="F1837" s="20" t="n"/>
      <c r="G1837" s="19" t="n"/>
      <c r="H1837" s="21">
        <f>IF(A1837="","",YEAR(A1837)*100+MONTH(A1837))</f>
        <v/>
      </c>
    </row>
    <row r="1838">
      <c r="A1838" s="18" t="n"/>
      <c r="B1838" s="19" t="n"/>
      <c r="C1838" s="19" t="n"/>
      <c r="D1838" s="19" t="n"/>
      <c r="E1838" s="20" t="n"/>
      <c r="F1838" s="20" t="n"/>
      <c r="G1838" s="19" t="n"/>
      <c r="H1838" s="21">
        <f>IF(A1838="","",YEAR(A1838)*100+MONTH(A1838))</f>
        <v/>
      </c>
    </row>
    <row r="1839">
      <c r="A1839" s="18" t="n"/>
      <c r="B1839" s="19" t="n"/>
      <c r="C1839" s="19" t="n"/>
      <c r="D1839" s="19" t="n"/>
      <c r="E1839" s="20" t="n"/>
      <c r="F1839" s="20" t="n"/>
      <c r="G1839" s="19" t="n"/>
      <c r="H1839" s="21">
        <f>IF(A1839="","",YEAR(A1839)*100+MONTH(A1839))</f>
        <v/>
      </c>
    </row>
    <row r="1840">
      <c r="A1840" s="18" t="n"/>
      <c r="B1840" s="19" t="n"/>
      <c r="C1840" s="19" t="n"/>
      <c r="D1840" s="19" t="n"/>
      <c r="E1840" s="20" t="n"/>
      <c r="F1840" s="20" t="n"/>
      <c r="G1840" s="19" t="n"/>
      <c r="H1840" s="21">
        <f>IF(A1840="","",YEAR(A1840)*100+MONTH(A1840))</f>
        <v/>
      </c>
    </row>
    <row r="1841">
      <c r="A1841" s="18" t="n"/>
      <c r="B1841" s="19" t="n"/>
      <c r="C1841" s="19" t="n"/>
      <c r="D1841" s="19" t="n"/>
      <c r="E1841" s="20" t="n"/>
      <c r="F1841" s="20" t="n"/>
      <c r="G1841" s="19" t="n"/>
      <c r="H1841" s="21">
        <f>IF(A1841="","",YEAR(A1841)*100+MONTH(A1841))</f>
        <v/>
      </c>
    </row>
    <row r="1842">
      <c r="A1842" s="18" t="n"/>
      <c r="B1842" s="19" t="n"/>
      <c r="C1842" s="19" t="n"/>
      <c r="D1842" s="19" t="n"/>
      <c r="E1842" s="20" t="n"/>
      <c r="F1842" s="20" t="n"/>
      <c r="G1842" s="19" t="n"/>
      <c r="H1842" s="21">
        <f>IF(A1842="","",YEAR(A1842)*100+MONTH(A1842))</f>
        <v/>
      </c>
    </row>
    <row r="1843">
      <c r="A1843" s="18" t="n"/>
      <c r="B1843" s="19" t="n"/>
      <c r="C1843" s="19" t="n"/>
      <c r="D1843" s="19" t="n"/>
      <c r="E1843" s="20" t="n"/>
      <c r="F1843" s="20" t="n"/>
      <c r="G1843" s="19" t="n"/>
      <c r="H1843" s="21">
        <f>IF(A1843="","",YEAR(A1843)*100+MONTH(A1843))</f>
        <v/>
      </c>
    </row>
    <row r="1844">
      <c r="A1844" s="18" t="n"/>
      <c r="B1844" s="19" t="n"/>
      <c r="C1844" s="19" t="n"/>
      <c r="D1844" s="19" t="n"/>
      <c r="E1844" s="20" t="n"/>
      <c r="F1844" s="20" t="n"/>
      <c r="G1844" s="19" t="n"/>
      <c r="H1844" s="21">
        <f>IF(A1844="","",YEAR(A1844)*100+MONTH(A1844))</f>
        <v/>
      </c>
    </row>
    <row r="1845">
      <c r="A1845" s="18" t="n"/>
      <c r="B1845" s="19" t="n"/>
      <c r="C1845" s="19" t="n"/>
      <c r="D1845" s="19" t="n"/>
      <c r="E1845" s="20" t="n"/>
      <c r="F1845" s="20" t="n"/>
      <c r="G1845" s="19" t="n"/>
      <c r="H1845" s="21">
        <f>IF(A1845="","",YEAR(A1845)*100+MONTH(A1845))</f>
        <v/>
      </c>
    </row>
    <row r="1846">
      <c r="A1846" s="18" t="n"/>
      <c r="B1846" s="19" t="n"/>
      <c r="C1846" s="19" t="n"/>
      <c r="D1846" s="19" t="n"/>
      <c r="E1846" s="20" t="n"/>
      <c r="F1846" s="20" t="n"/>
      <c r="G1846" s="19" t="n"/>
      <c r="H1846" s="21">
        <f>IF(A1846="","",YEAR(A1846)*100+MONTH(A1846))</f>
        <v/>
      </c>
    </row>
    <row r="1847">
      <c r="A1847" s="18" t="n"/>
      <c r="B1847" s="19" t="n"/>
      <c r="C1847" s="19" t="n"/>
      <c r="D1847" s="19" t="n"/>
      <c r="E1847" s="20" t="n"/>
      <c r="F1847" s="20" t="n"/>
      <c r="G1847" s="19" t="n"/>
      <c r="H1847" s="21">
        <f>IF(A1847="","",YEAR(A1847)*100+MONTH(A1847))</f>
        <v/>
      </c>
    </row>
    <row r="1848">
      <c r="A1848" s="18" t="n"/>
      <c r="B1848" s="19" t="n"/>
      <c r="C1848" s="19" t="n"/>
      <c r="D1848" s="19" t="n"/>
      <c r="E1848" s="20" t="n"/>
      <c r="F1848" s="20" t="n"/>
      <c r="G1848" s="19" t="n"/>
      <c r="H1848" s="21">
        <f>IF(A1848="","",YEAR(A1848)*100+MONTH(A1848))</f>
        <v/>
      </c>
    </row>
    <row r="1849">
      <c r="A1849" s="18" t="n"/>
      <c r="B1849" s="19" t="n"/>
      <c r="C1849" s="19" t="n"/>
      <c r="D1849" s="19" t="n"/>
      <c r="E1849" s="20" t="n"/>
      <c r="F1849" s="20" t="n"/>
      <c r="G1849" s="19" t="n"/>
      <c r="H1849" s="21">
        <f>IF(A1849="","",YEAR(A1849)*100+MONTH(A1849))</f>
        <v/>
      </c>
    </row>
    <row r="1850">
      <c r="A1850" s="18" t="n"/>
      <c r="B1850" s="19" t="n"/>
      <c r="C1850" s="19" t="n"/>
      <c r="D1850" s="19" t="n"/>
      <c r="E1850" s="20" t="n"/>
      <c r="F1850" s="20" t="n"/>
      <c r="G1850" s="19" t="n"/>
      <c r="H1850" s="21">
        <f>IF(A1850="","",YEAR(A1850)*100+MONTH(A1850))</f>
        <v/>
      </c>
    </row>
    <row r="1851">
      <c r="A1851" s="18" t="n"/>
      <c r="B1851" s="19" t="n"/>
      <c r="C1851" s="19" t="n"/>
      <c r="D1851" s="19" t="n"/>
      <c r="E1851" s="20" t="n"/>
      <c r="F1851" s="20" t="n"/>
      <c r="G1851" s="19" t="n"/>
      <c r="H1851" s="21">
        <f>IF(A1851="","",YEAR(A1851)*100+MONTH(A1851))</f>
        <v/>
      </c>
    </row>
    <row r="1852">
      <c r="A1852" s="18" t="n"/>
      <c r="B1852" s="19" t="n"/>
      <c r="C1852" s="19" t="n"/>
      <c r="D1852" s="19" t="n"/>
      <c r="E1852" s="20" t="n"/>
      <c r="F1852" s="20" t="n"/>
      <c r="G1852" s="19" t="n"/>
      <c r="H1852" s="21">
        <f>IF(A1852="","",YEAR(A1852)*100+MONTH(A1852))</f>
        <v/>
      </c>
    </row>
    <row r="1853">
      <c r="A1853" s="18" t="n"/>
      <c r="B1853" s="19" t="n"/>
      <c r="C1853" s="19" t="n"/>
      <c r="D1853" s="19" t="n"/>
      <c r="E1853" s="20" t="n"/>
      <c r="F1853" s="20" t="n"/>
      <c r="G1853" s="19" t="n"/>
      <c r="H1853" s="21">
        <f>IF(A1853="","",YEAR(A1853)*100+MONTH(A1853))</f>
        <v/>
      </c>
    </row>
    <row r="1854">
      <c r="A1854" s="18" t="n"/>
      <c r="B1854" s="19" t="n"/>
      <c r="C1854" s="19" t="n"/>
      <c r="D1854" s="19" t="n"/>
      <c r="E1854" s="20" t="n"/>
      <c r="F1854" s="20" t="n"/>
      <c r="G1854" s="19" t="n"/>
      <c r="H1854" s="21">
        <f>IF(A1854="","",YEAR(A1854)*100+MONTH(A1854))</f>
        <v/>
      </c>
    </row>
    <row r="1855">
      <c r="A1855" s="18" t="n"/>
      <c r="B1855" s="19" t="n"/>
      <c r="C1855" s="19" t="n"/>
      <c r="D1855" s="19" t="n"/>
      <c r="E1855" s="20" t="n"/>
      <c r="F1855" s="20" t="n"/>
      <c r="G1855" s="19" t="n"/>
      <c r="H1855" s="21">
        <f>IF(A1855="","",YEAR(A1855)*100+MONTH(A1855))</f>
        <v/>
      </c>
    </row>
    <row r="1856">
      <c r="A1856" s="18" t="n"/>
      <c r="B1856" s="19" t="n"/>
      <c r="C1856" s="19" t="n"/>
      <c r="D1856" s="19" t="n"/>
      <c r="E1856" s="20" t="n"/>
      <c r="F1856" s="20" t="n"/>
      <c r="G1856" s="19" t="n"/>
      <c r="H1856" s="21">
        <f>IF(A1856="","",YEAR(A1856)*100+MONTH(A1856))</f>
        <v/>
      </c>
    </row>
    <row r="1857">
      <c r="A1857" s="18" t="n"/>
      <c r="B1857" s="19" t="n"/>
      <c r="C1857" s="19" t="n"/>
      <c r="D1857" s="19" t="n"/>
      <c r="E1857" s="20" t="n"/>
      <c r="F1857" s="20" t="n"/>
      <c r="G1857" s="19" t="n"/>
      <c r="H1857" s="21">
        <f>IF(A1857="","",YEAR(A1857)*100+MONTH(A1857))</f>
        <v/>
      </c>
    </row>
    <row r="1858">
      <c r="A1858" s="18" t="n"/>
      <c r="B1858" s="19" t="n"/>
      <c r="C1858" s="19" t="n"/>
      <c r="D1858" s="19" t="n"/>
      <c r="E1858" s="20" t="n"/>
      <c r="F1858" s="20" t="n"/>
      <c r="G1858" s="19" t="n"/>
      <c r="H1858" s="21">
        <f>IF(A1858="","",YEAR(A1858)*100+MONTH(A1858))</f>
        <v/>
      </c>
    </row>
    <row r="1859">
      <c r="A1859" s="18" t="n"/>
      <c r="B1859" s="19" t="n"/>
      <c r="C1859" s="19" t="n"/>
      <c r="D1859" s="19" t="n"/>
      <c r="E1859" s="20" t="n"/>
      <c r="F1859" s="20" t="n"/>
      <c r="G1859" s="19" t="n"/>
      <c r="H1859" s="21">
        <f>IF(A1859="","",YEAR(A1859)*100+MONTH(A1859))</f>
        <v/>
      </c>
    </row>
    <row r="1860">
      <c r="A1860" s="18" t="n"/>
      <c r="B1860" s="19" t="n"/>
      <c r="C1860" s="19" t="n"/>
      <c r="D1860" s="19" t="n"/>
      <c r="E1860" s="20" t="n"/>
      <c r="F1860" s="20" t="n"/>
      <c r="G1860" s="19" t="n"/>
      <c r="H1860" s="21">
        <f>IF(A1860="","",YEAR(A1860)*100+MONTH(A1860))</f>
        <v/>
      </c>
    </row>
    <row r="1861">
      <c r="A1861" s="18" t="n"/>
      <c r="B1861" s="19" t="n"/>
      <c r="C1861" s="19" t="n"/>
      <c r="D1861" s="19" t="n"/>
      <c r="E1861" s="20" t="n"/>
      <c r="F1861" s="20" t="n"/>
      <c r="G1861" s="19" t="n"/>
      <c r="H1861" s="21">
        <f>IF(A1861="","",YEAR(A1861)*100+MONTH(A1861))</f>
        <v/>
      </c>
    </row>
    <row r="1862">
      <c r="A1862" s="18" t="n"/>
      <c r="B1862" s="19" t="n"/>
      <c r="C1862" s="19" t="n"/>
      <c r="D1862" s="19" t="n"/>
      <c r="E1862" s="20" t="n"/>
      <c r="F1862" s="20" t="n"/>
      <c r="G1862" s="19" t="n"/>
      <c r="H1862" s="21">
        <f>IF(A1862="","",YEAR(A1862)*100+MONTH(A1862))</f>
        <v/>
      </c>
    </row>
    <row r="1863">
      <c r="A1863" s="18" t="n"/>
      <c r="B1863" s="19" t="n"/>
      <c r="C1863" s="19" t="n"/>
      <c r="D1863" s="19" t="n"/>
      <c r="E1863" s="20" t="n"/>
      <c r="F1863" s="20" t="n"/>
      <c r="G1863" s="19" t="n"/>
      <c r="H1863" s="21">
        <f>IF(A1863="","",YEAR(A1863)*100+MONTH(A1863))</f>
        <v/>
      </c>
    </row>
    <row r="1864">
      <c r="A1864" s="18" t="n"/>
      <c r="B1864" s="19" t="n"/>
      <c r="C1864" s="19" t="n"/>
      <c r="D1864" s="19" t="n"/>
      <c r="E1864" s="20" t="n"/>
      <c r="F1864" s="20" t="n"/>
      <c r="G1864" s="19" t="n"/>
      <c r="H1864" s="21">
        <f>IF(A1864="","",YEAR(A1864)*100+MONTH(A1864))</f>
        <v/>
      </c>
    </row>
    <row r="1865">
      <c r="A1865" s="18" t="n"/>
      <c r="B1865" s="19" t="n"/>
      <c r="C1865" s="19" t="n"/>
      <c r="D1865" s="19" t="n"/>
      <c r="E1865" s="20" t="n"/>
      <c r="F1865" s="20" t="n"/>
      <c r="G1865" s="19" t="n"/>
      <c r="H1865" s="21">
        <f>IF(A1865="","",YEAR(A1865)*100+MONTH(A1865))</f>
        <v/>
      </c>
    </row>
    <row r="1866">
      <c r="A1866" s="18" t="n"/>
      <c r="B1866" s="19" t="n"/>
      <c r="C1866" s="19" t="n"/>
      <c r="D1866" s="19" t="n"/>
      <c r="E1866" s="20" t="n"/>
      <c r="F1866" s="20" t="n"/>
      <c r="G1866" s="19" t="n"/>
      <c r="H1866" s="21">
        <f>IF(A1866="","",YEAR(A1866)*100+MONTH(A1866))</f>
        <v/>
      </c>
    </row>
    <row r="1867">
      <c r="A1867" s="18" t="n"/>
      <c r="B1867" s="19" t="n"/>
      <c r="C1867" s="19" t="n"/>
      <c r="D1867" s="19" t="n"/>
      <c r="E1867" s="20" t="n"/>
      <c r="F1867" s="20" t="n"/>
      <c r="G1867" s="19" t="n"/>
      <c r="H1867" s="21">
        <f>IF(A1867="","",YEAR(A1867)*100+MONTH(A1867))</f>
        <v/>
      </c>
    </row>
    <row r="1868">
      <c r="A1868" s="18" t="n"/>
      <c r="B1868" s="19" t="n"/>
      <c r="C1868" s="19" t="n"/>
      <c r="D1868" s="19" t="n"/>
      <c r="E1868" s="20" t="n"/>
      <c r="F1868" s="20" t="n"/>
      <c r="G1868" s="19" t="n"/>
      <c r="H1868" s="21">
        <f>IF(A1868="","",YEAR(A1868)*100+MONTH(A1868))</f>
        <v/>
      </c>
    </row>
    <row r="1869">
      <c r="A1869" s="18" t="n"/>
      <c r="B1869" s="19" t="n"/>
      <c r="C1869" s="19" t="n"/>
      <c r="D1869" s="19" t="n"/>
      <c r="E1869" s="20" t="n"/>
      <c r="F1869" s="20" t="n"/>
      <c r="G1869" s="19" t="n"/>
      <c r="H1869" s="21">
        <f>IF(A1869="","",YEAR(A1869)*100+MONTH(A1869))</f>
        <v/>
      </c>
    </row>
    <row r="1870">
      <c r="A1870" s="18" t="n"/>
      <c r="B1870" s="19" t="n"/>
      <c r="C1870" s="19" t="n"/>
      <c r="D1870" s="19" t="n"/>
      <c r="E1870" s="20" t="n"/>
      <c r="F1870" s="20" t="n"/>
      <c r="G1870" s="19" t="n"/>
      <c r="H1870" s="21">
        <f>IF(A1870="","",YEAR(A1870)*100+MONTH(A1870))</f>
        <v/>
      </c>
    </row>
    <row r="1871">
      <c r="A1871" s="18" t="n"/>
      <c r="B1871" s="19" t="n"/>
      <c r="C1871" s="19" t="n"/>
      <c r="D1871" s="19" t="n"/>
      <c r="E1871" s="20" t="n"/>
      <c r="F1871" s="20" t="n"/>
      <c r="G1871" s="19" t="n"/>
      <c r="H1871" s="21">
        <f>IF(A1871="","",YEAR(A1871)*100+MONTH(A1871))</f>
        <v/>
      </c>
    </row>
    <row r="1872">
      <c r="A1872" s="18" t="n"/>
      <c r="B1872" s="19" t="n"/>
      <c r="C1872" s="19" t="n"/>
      <c r="D1872" s="19" t="n"/>
      <c r="E1872" s="20" t="n"/>
      <c r="F1872" s="20" t="n"/>
      <c r="G1872" s="19" t="n"/>
      <c r="H1872" s="21">
        <f>IF(A1872="","",YEAR(A1872)*100+MONTH(A1872))</f>
        <v/>
      </c>
    </row>
    <row r="1873">
      <c r="A1873" s="18" t="n"/>
      <c r="B1873" s="19" t="n"/>
      <c r="C1873" s="19" t="n"/>
      <c r="D1873" s="19" t="n"/>
      <c r="E1873" s="20" t="n"/>
      <c r="F1873" s="20" t="n"/>
      <c r="G1873" s="19" t="n"/>
      <c r="H1873" s="21">
        <f>IF(A1873="","",YEAR(A1873)*100+MONTH(A1873))</f>
        <v/>
      </c>
    </row>
    <row r="1874">
      <c r="A1874" s="18" t="n"/>
      <c r="B1874" s="19" t="n"/>
      <c r="C1874" s="19" t="n"/>
      <c r="D1874" s="19" t="n"/>
      <c r="E1874" s="20" t="n"/>
      <c r="F1874" s="20" t="n"/>
      <c r="G1874" s="19" t="n"/>
      <c r="H1874" s="21">
        <f>IF(A1874="","",YEAR(A1874)*100+MONTH(A1874))</f>
        <v/>
      </c>
    </row>
    <row r="1875">
      <c r="A1875" s="18" t="n"/>
      <c r="B1875" s="19" t="n"/>
      <c r="C1875" s="19" t="n"/>
      <c r="D1875" s="19" t="n"/>
      <c r="E1875" s="20" t="n"/>
      <c r="F1875" s="20" t="n"/>
      <c r="G1875" s="19" t="n"/>
      <c r="H1875" s="21">
        <f>IF(A1875="","",YEAR(A1875)*100+MONTH(A1875))</f>
        <v/>
      </c>
    </row>
    <row r="1876">
      <c r="A1876" s="18" t="n"/>
      <c r="B1876" s="19" t="n"/>
      <c r="C1876" s="19" t="n"/>
      <c r="D1876" s="19" t="n"/>
      <c r="E1876" s="20" t="n"/>
      <c r="F1876" s="20" t="n"/>
      <c r="G1876" s="19" t="n"/>
      <c r="H1876" s="21">
        <f>IF(A1876="","",YEAR(A1876)*100+MONTH(A1876))</f>
        <v/>
      </c>
    </row>
    <row r="1877">
      <c r="A1877" s="18" t="n"/>
      <c r="B1877" s="19" t="n"/>
      <c r="C1877" s="19" t="n"/>
      <c r="D1877" s="19" t="n"/>
      <c r="E1877" s="20" t="n"/>
      <c r="F1877" s="20" t="n"/>
      <c r="G1877" s="19" t="n"/>
      <c r="H1877" s="21">
        <f>IF(A1877="","",YEAR(A1877)*100+MONTH(A1877))</f>
        <v/>
      </c>
    </row>
    <row r="1878">
      <c r="A1878" s="18" t="n"/>
      <c r="B1878" s="19" t="n"/>
      <c r="C1878" s="19" t="n"/>
      <c r="D1878" s="19" t="n"/>
      <c r="E1878" s="20" t="n"/>
      <c r="F1878" s="20" t="n"/>
      <c r="G1878" s="19" t="n"/>
      <c r="H1878" s="21">
        <f>IF(A1878="","",YEAR(A1878)*100+MONTH(A1878))</f>
        <v/>
      </c>
    </row>
    <row r="1879">
      <c r="A1879" s="18" t="n"/>
      <c r="B1879" s="19" t="n"/>
      <c r="C1879" s="19" t="n"/>
      <c r="D1879" s="19" t="n"/>
      <c r="E1879" s="20" t="n"/>
      <c r="F1879" s="20" t="n"/>
      <c r="G1879" s="19" t="n"/>
      <c r="H1879" s="21">
        <f>IF(A1879="","",YEAR(A1879)*100+MONTH(A1879))</f>
        <v/>
      </c>
    </row>
    <row r="1880">
      <c r="A1880" s="18" t="n"/>
      <c r="B1880" s="19" t="n"/>
      <c r="C1880" s="19" t="n"/>
      <c r="D1880" s="19" t="n"/>
      <c r="E1880" s="20" t="n"/>
      <c r="F1880" s="20" t="n"/>
      <c r="G1880" s="19" t="n"/>
      <c r="H1880" s="21">
        <f>IF(A1880="","",YEAR(A1880)*100+MONTH(A1880))</f>
        <v/>
      </c>
    </row>
    <row r="1881">
      <c r="A1881" s="18" t="n"/>
      <c r="B1881" s="19" t="n"/>
      <c r="C1881" s="19" t="n"/>
      <c r="D1881" s="19" t="n"/>
      <c r="E1881" s="20" t="n"/>
      <c r="F1881" s="20" t="n"/>
      <c r="G1881" s="19" t="n"/>
      <c r="H1881" s="21">
        <f>IF(A1881="","",YEAR(A1881)*100+MONTH(A1881))</f>
        <v/>
      </c>
    </row>
    <row r="1882">
      <c r="A1882" s="18" t="n"/>
      <c r="B1882" s="19" t="n"/>
      <c r="C1882" s="19" t="n"/>
      <c r="D1882" s="19" t="n"/>
      <c r="E1882" s="20" t="n"/>
      <c r="F1882" s="20" t="n"/>
      <c r="G1882" s="19" t="n"/>
      <c r="H1882" s="21">
        <f>IF(A1882="","",YEAR(A1882)*100+MONTH(A1882))</f>
        <v/>
      </c>
    </row>
    <row r="1883">
      <c r="A1883" s="18" t="n"/>
      <c r="B1883" s="19" t="n"/>
      <c r="C1883" s="19" t="n"/>
      <c r="D1883" s="19" t="n"/>
      <c r="E1883" s="20" t="n"/>
      <c r="F1883" s="20" t="n"/>
      <c r="G1883" s="19" t="n"/>
      <c r="H1883" s="21">
        <f>IF(A1883="","",YEAR(A1883)*100+MONTH(A1883))</f>
        <v/>
      </c>
    </row>
    <row r="1884">
      <c r="A1884" s="18" t="n"/>
      <c r="B1884" s="19" t="n"/>
      <c r="C1884" s="19" t="n"/>
      <c r="D1884" s="19" t="n"/>
      <c r="E1884" s="20" t="n"/>
      <c r="F1884" s="20" t="n"/>
      <c r="G1884" s="19" t="n"/>
      <c r="H1884" s="21">
        <f>IF(A1884="","",YEAR(A1884)*100+MONTH(A1884))</f>
        <v/>
      </c>
    </row>
    <row r="1885">
      <c r="A1885" s="18" t="n"/>
      <c r="B1885" s="19" t="n"/>
      <c r="C1885" s="19" t="n"/>
      <c r="D1885" s="19" t="n"/>
      <c r="E1885" s="20" t="n"/>
      <c r="F1885" s="20" t="n"/>
      <c r="G1885" s="19" t="n"/>
      <c r="H1885" s="21">
        <f>IF(A1885="","",YEAR(A1885)*100+MONTH(A1885))</f>
        <v/>
      </c>
    </row>
    <row r="1886">
      <c r="A1886" s="18" t="n"/>
      <c r="B1886" s="19" t="n"/>
      <c r="C1886" s="19" t="n"/>
      <c r="D1886" s="19" t="n"/>
      <c r="E1886" s="20" t="n"/>
      <c r="F1886" s="20" t="n"/>
      <c r="G1886" s="19" t="n"/>
      <c r="H1886" s="21">
        <f>IF(A1886="","",YEAR(A1886)*100+MONTH(A1886))</f>
        <v/>
      </c>
    </row>
    <row r="1887">
      <c r="A1887" s="18" t="n"/>
      <c r="B1887" s="19" t="n"/>
      <c r="C1887" s="19" t="n"/>
      <c r="D1887" s="19" t="n"/>
      <c r="E1887" s="20" t="n"/>
      <c r="F1887" s="20" t="n"/>
      <c r="G1887" s="19" t="n"/>
      <c r="H1887" s="21">
        <f>IF(A1887="","",YEAR(A1887)*100+MONTH(A1887))</f>
        <v/>
      </c>
    </row>
    <row r="1888">
      <c r="A1888" s="18" t="n"/>
      <c r="B1888" s="19" t="n"/>
      <c r="C1888" s="19" t="n"/>
      <c r="D1888" s="19" t="n"/>
      <c r="E1888" s="20" t="n"/>
      <c r="F1888" s="20" t="n"/>
      <c r="G1888" s="19" t="n"/>
      <c r="H1888" s="21">
        <f>IF(A1888="","",YEAR(A1888)*100+MONTH(A1888))</f>
        <v/>
      </c>
    </row>
    <row r="1889">
      <c r="A1889" s="18" t="n"/>
      <c r="B1889" s="19" t="n"/>
      <c r="C1889" s="19" t="n"/>
      <c r="D1889" s="19" t="n"/>
      <c r="E1889" s="20" t="n"/>
      <c r="F1889" s="20" t="n"/>
      <c r="G1889" s="19" t="n"/>
      <c r="H1889" s="21">
        <f>IF(A1889="","",YEAR(A1889)*100+MONTH(A1889))</f>
        <v/>
      </c>
    </row>
    <row r="1890">
      <c r="A1890" s="18" t="n"/>
      <c r="B1890" s="19" t="n"/>
      <c r="C1890" s="19" t="n"/>
      <c r="D1890" s="19" t="n"/>
      <c r="E1890" s="20" t="n"/>
      <c r="F1890" s="20" t="n"/>
      <c r="G1890" s="19" t="n"/>
      <c r="H1890" s="21">
        <f>IF(A1890="","",YEAR(A1890)*100+MONTH(A1890))</f>
        <v/>
      </c>
    </row>
    <row r="1891">
      <c r="A1891" s="18" t="n"/>
      <c r="B1891" s="19" t="n"/>
      <c r="C1891" s="19" t="n"/>
      <c r="D1891" s="19" t="n"/>
      <c r="E1891" s="20" t="n"/>
      <c r="F1891" s="20" t="n"/>
      <c r="G1891" s="19" t="n"/>
      <c r="H1891" s="21">
        <f>IF(A1891="","",YEAR(A1891)*100+MONTH(A1891))</f>
        <v/>
      </c>
    </row>
    <row r="1892">
      <c r="A1892" s="18" t="n"/>
      <c r="B1892" s="19" t="n"/>
      <c r="C1892" s="19" t="n"/>
      <c r="D1892" s="19" t="n"/>
      <c r="E1892" s="20" t="n"/>
      <c r="F1892" s="20" t="n"/>
      <c r="G1892" s="19" t="n"/>
      <c r="H1892" s="21">
        <f>IF(A1892="","",YEAR(A1892)*100+MONTH(A1892))</f>
        <v/>
      </c>
    </row>
    <row r="1893">
      <c r="A1893" s="18" t="n"/>
      <c r="B1893" s="19" t="n"/>
      <c r="C1893" s="19" t="n"/>
      <c r="D1893" s="19" t="n"/>
      <c r="E1893" s="20" t="n"/>
      <c r="F1893" s="20" t="n"/>
      <c r="G1893" s="19" t="n"/>
      <c r="H1893" s="21">
        <f>IF(A1893="","",YEAR(A1893)*100+MONTH(A1893))</f>
        <v/>
      </c>
    </row>
    <row r="1894">
      <c r="A1894" s="18" t="n"/>
      <c r="B1894" s="19" t="n"/>
      <c r="C1894" s="19" t="n"/>
      <c r="D1894" s="19" t="n"/>
      <c r="E1894" s="20" t="n"/>
      <c r="F1894" s="20" t="n"/>
      <c r="G1894" s="19" t="n"/>
      <c r="H1894" s="21">
        <f>IF(A1894="","",YEAR(A1894)*100+MONTH(A1894))</f>
        <v/>
      </c>
    </row>
    <row r="1895">
      <c r="A1895" s="18" t="n"/>
      <c r="B1895" s="19" t="n"/>
      <c r="C1895" s="19" t="n"/>
      <c r="D1895" s="19" t="n"/>
      <c r="E1895" s="20" t="n"/>
      <c r="F1895" s="20" t="n"/>
      <c r="G1895" s="19" t="n"/>
      <c r="H1895" s="21">
        <f>IF(A1895="","",YEAR(A1895)*100+MONTH(A1895))</f>
        <v/>
      </c>
    </row>
    <row r="1896">
      <c r="A1896" s="18" t="n"/>
      <c r="B1896" s="19" t="n"/>
      <c r="C1896" s="19" t="n"/>
      <c r="D1896" s="19" t="n"/>
      <c r="E1896" s="20" t="n"/>
      <c r="F1896" s="20" t="n"/>
      <c r="G1896" s="19" t="n"/>
      <c r="H1896" s="21">
        <f>IF(A1896="","",YEAR(A1896)*100+MONTH(A1896))</f>
        <v/>
      </c>
    </row>
    <row r="1897">
      <c r="A1897" s="18" t="n"/>
      <c r="B1897" s="19" t="n"/>
      <c r="C1897" s="19" t="n"/>
      <c r="D1897" s="19" t="n"/>
      <c r="E1897" s="20" t="n"/>
      <c r="F1897" s="20" t="n"/>
      <c r="G1897" s="19" t="n"/>
      <c r="H1897" s="21">
        <f>IF(A1897="","",YEAR(A1897)*100+MONTH(A1897))</f>
        <v/>
      </c>
    </row>
    <row r="1898">
      <c r="A1898" s="18" t="n"/>
      <c r="B1898" s="19" t="n"/>
      <c r="C1898" s="19" t="n"/>
      <c r="D1898" s="19" t="n"/>
      <c r="E1898" s="20" t="n"/>
      <c r="F1898" s="20" t="n"/>
      <c r="G1898" s="19" t="n"/>
      <c r="H1898" s="21">
        <f>IF(A1898="","",YEAR(A1898)*100+MONTH(A1898))</f>
        <v/>
      </c>
    </row>
    <row r="1899">
      <c r="A1899" s="18" t="n"/>
      <c r="B1899" s="19" t="n"/>
      <c r="C1899" s="19" t="n"/>
      <c r="D1899" s="19" t="n"/>
      <c r="E1899" s="20" t="n"/>
      <c r="F1899" s="20" t="n"/>
      <c r="G1899" s="19" t="n"/>
      <c r="H1899" s="21">
        <f>IF(A1899="","",YEAR(A1899)*100+MONTH(A1899))</f>
        <v/>
      </c>
    </row>
    <row r="1900">
      <c r="A1900" s="18" t="n"/>
      <c r="B1900" s="19" t="n"/>
      <c r="C1900" s="19" t="n"/>
      <c r="D1900" s="19" t="n"/>
      <c r="E1900" s="20" t="n"/>
      <c r="F1900" s="20" t="n"/>
      <c r="G1900" s="19" t="n"/>
      <c r="H1900" s="21">
        <f>IF(A1900="","",YEAR(A1900)*100+MONTH(A1900))</f>
        <v/>
      </c>
    </row>
    <row r="1901">
      <c r="A1901" s="18" t="n"/>
      <c r="B1901" s="19" t="n"/>
      <c r="C1901" s="19" t="n"/>
      <c r="D1901" s="19" t="n"/>
      <c r="E1901" s="20" t="n"/>
      <c r="F1901" s="20" t="n"/>
      <c r="G1901" s="19" t="n"/>
      <c r="H1901" s="21">
        <f>IF(A1901="","",YEAR(A1901)*100+MONTH(A1901))</f>
        <v/>
      </c>
    </row>
    <row r="1902">
      <c r="A1902" s="18" t="n"/>
      <c r="B1902" s="19" t="n"/>
      <c r="C1902" s="19" t="n"/>
      <c r="D1902" s="19" t="n"/>
      <c r="E1902" s="20" t="n"/>
      <c r="F1902" s="20" t="n"/>
      <c r="G1902" s="19" t="n"/>
      <c r="H1902" s="21">
        <f>IF(A1902="","",YEAR(A1902)*100+MONTH(A1902))</f>
        <v/>
      </c>
    </row>
    <row r="1903">
      <c r="A1903" s="18" t="n"/>
      <c r="B1903" s="19" t="n"/>
      <c r="C1903" s="19" t="n"/>
      <c r="D1903" s="19" t="n"/>
      <c r="E1903" s="20" t="n"/>
      <c r="F1903" s="20" t="n"/>
      <c r="G1903" s="19" t="n"/>
      <c r="H1903" s="21">
        <f>IF(A1903="","",YEAR(A1903)*100+MONTH(A1903))</f>
        <v/>
      </c>
    </row>
    <row r="1904">
      <c r="A1904" s="18" t="n"/>
      <c r="B1904" s="19" t="n"/>
      <c r="C1904" s="19" t="n"/>
      <c r="D1904" s="19" t="n"/>
      <c r="E1904" s="20" t="n"/>
      <c r="F1904" s="20" t="n"/>
      <c r="G1904" s="19" t="n"/>
      <c r="H1904" s="21">
        <f>IF(A1904="","",YEAR(A1904)*100+MONTH(A1904))</f>
        <v/>
      </c>
    </row>
    <row r="1905">
      <c r="A1905" s="18" t="n"/>
      <c r="B1905" s="19" t="n"/>
      <c r="C1905" s="19" t="n"/>
      <c r="D1905" s="19" t="n"/>
      <c r="E1905" s="20" t="n"/>
      <c r="F1905" s="20" t="n"/>
      <c r="G1905" s="19" t="n"/>
      <c r="H1905" s="21">
        <f>IF(A1905="","",YEAR(A1905)*100+MONTH(A1905))</f>
        <v/>
      </c>
    </row>
    <row r="1906">
      <c r="A1906" s="18" t="n"/>
      <c r="B1906" s="19" t="n"/>
      <c r="C1906" s="19" t="n"/>
      <c r="D1906" s="19" t="n"/>
      <c r="E1906" s="20" t="n"/>
      <c r="F1906" s="20" t="n"/>
      <c r="G1906" s="19" t="n"/>
      <c r="H1906" s="21">
        <f>IF(A1906="","",YEAR(A1906)*100+MONTH(A1906))</f>
        <v/>
      </c>
    </row>
    <row r="1907">
      <c r="A1907" s="18" t="n"/>
      <c r="B1907" s="19" t="n"/>
      <c r="C1907" s="19" t="n"/>
      <c r="D1907" s="19" t="n"/>
      <c r="E1907" s="20" t="n"/>
      <c r="F1907" s="20" t="n"/>
      <c r="G1907" s="19" t="n"/>
      <c r="H1907" s="21">
        <f>IF(A1907="","",YEAR(A1907)*100+MONTH(A1907))</f>
        <v/>
      </c>
    </row>
    <row r="1908">
      <c r="A1908" s="18" t="n"/>
      <c r="B1908" s="19" t="n"/>
      <c r="C1908" s="19" t="n"/>
      <c r="D1908" s="19" t="n"/>
      <c r="E1908" s="20" t="n"/>
      <c r="F1908" s="20" t="n"/>
      <c r="G1908" s="19" t="n"/>
      <c r="H1908" s="21">
        <f>IF(A1908="","",YEAR(A1908)*100+MONTH(A1908))</f>
        <v/>
      </c>
    </row>
    <row r="1909">
      <c r="A1909" s="18" t="n"/>
      <c r="B1909" s="19" t="n"/>
      <c r="C1909" s="19" t="n"/>
      <c r="D1909" s="19" t="n"/>
      <c r="E1909" s="20" t="n"/>
      <c r="F1909" s="20" t="n"/>
      <c r="G1909" s="19" t="n"/>
      <c r="H1909" s="21">
        <f>IF(A1909="","",YEAR(A1909)*100+MONTH(A1909))</f>
        <v/>
      </c>
    </row>
    <row r="1910">
      <c r="A1910" s="18" t="n"/>
      <c r="B1910" s="19" t="n"/>
      <c r="C1910" s="19" t="n"/>
      <c r="D1910" s="19" t="n"/>
      <c r="E1910" s="20" t="n"/>
      <c r="F1910" s="20" t="n"/>
      <c r="G1910" s="19" t="n"/>
      <c r="H1910" s="21">
        <f>IF(A1910="","",YEAR(A1910)*100+MONTH(A1910))</f>
        <v/>
      </c>
    </row>
    <row r="1911">
      <c r="A1911" s="18" t="n"/>
      <c r="B1911" s="19" t="n"/>
      <c r="C1911" s="19" t="n"/>
      <c r="D1911" s="19" t="n"/>
      <c r="E1911" s="20" t="n"/>
      <c r="F1911" s="20" t="n"/>
      <c r="G1911" s="19" t="n"/>
      <c r="H1911" s="21">
        <f>IF(A1911="","",YEAR(A1911)*100+MONTH(A1911))</f>
        <v/>
      </c>
    </row>
    <row r="1912">
      <c r="A1912" s="18" t="n"/>
      <c r="B1912" s="19" t="n"/>
      <c r="C1912" s="19" t="n"/>
      <c r="D1912" s="19" t="n"/>
      <c r="E1912" s="20" t="n"/>
      <c r="F1912" s="20" t="n"/>
      <c r="G1912" s="19" t="n"/>
      <c r="H1912" s="21">
        <f>IF(A1912="","",YEAR(A1912)*100+MONTH(A1912))</f>
        <v/>
      </c>
    </row>
    <row r="1913">
      <c r="A1913" s="18" t="n"/>
      <c r="B1913" s="19" t="n"/>
      <c r="C1913" s="19" t="n"/>
      <c r="D1913" s="19" t="n"/>
      <c r="E1913" s="20" t="n"/>
      <c r="F1913" s="20" t="n"/>
      <c r="G1913" s="19" t="n"/>
      <c r="H1913" s="21">
        <f>IF(A1913="","",YEAR(A1913)*100+MONTH(A1913))</f>
        <v/>
      </c>
    </row>
    <row r="1914">
      <c r="A1914" s="18" t="n"/>
      <c r="B1914" s="19" t="n"/>
      <c r="C1914" s="19" t="n"/>
      <c r="D1914" s="19" t="n"/>
      <c r="E1914" s="20" t="n"/>
      <c r="F1914" s="20" t="n"/>
      <c r="G1914" s="19" t="n"/>
      <c r="H1914" s="21">
        <f>IF(A1914="","",YEAR(A1914)*100+MONTH(A1914))</f>
        <v/>
      </c>
    </row>
    <row r="1915">
      <c r="A1915" s="18" t="n"/>
      <c r="B1915" s="19" t="n"/>
      <c r="C1915" s="19" t="n"/>
      <c r="D1915" s="19" t="n"/>
      <c r="E1915" s="20" t="n"/>
      <c r="F1915" s="20" t="n"/>
      <c r="G1915" s="19" t="n"/>
      <c r="H1915" s="21">
        <f>IF(A1915="","",YEAR(A1915)*100+MONTH(A1915))</f>
        <v/>
      </c>
    </row>
    <row r="1916">
      <c r="A1916" s="18" t="n"/>
      <c r="B1916" s="19" t="n"/>
      <c r="C1916" s="19" t="n"/>
      <c r="D1916" s="19" t="n"/>
      <c r="E1916" s="20" t="n"/>
      <c r="F1916" s="20" t="n"/>
      <c r="G1916" s="19" t="n"/>
      <c r="H1916" s="21">
        <f>IF(A1916="","",YEAR(A1916)*100+MONTH(A1916))</f>
        <v/>
      </c>
    </row>
    <row r="1917">
      <c r="A1917" s="18" t="n"/>
      <c r="B1917" s="19" t="n"/>
      <c r="C1917" s="19" t="n"/>
      <c r="D1917" s="19" t="n"/>
      <c r="E1917" s="20" t="n"/>
      <c r="F1917" s="20" t="n"/>
      <c r="G1917" s="19" t="n"/>
      <c r="H1917" s="21">
        <f>IF(A1917="","",YEAR(A1917)*100+MONTH(A1917))</f>
        <v/>
      </c>
    </row>
    <row r="1918">
      <c r="A1918" s="18" t="n"/>
      <c r="B1918" s="19" t="n"/>
      <c r="C1918" s="19" t="n"/>
      <c r="D1918" s="19" t="n"/>
      <c r="E1918" s="20" t="n"/>
      <c r="F1918" s="20" t="n"/>
      <c r="G1918" s="19" t="n"/>
      <c r="H1918" s="21">
        <f>IF(A1918="","",YEAR(A1918)*100+MONTH(A1918))</f>
        <v/>
      </c>
    </row>
    <row r="1919">
      <c r="A1919" s="18" t="n"/>
      <c r="B1919" s="19" t="n"/>
      <c r="C1919" s="19" t="n"/>
      <c r="D1919" s="19" t="n"/>
      <c r="E1919" s="20" t="n"/>
      <c r="F1919" s="20" t="n"/>
      <c r="G1919" s="19" t="n"/>
      <c r="H1919" s="21">
        <f>IF(A1919="","",YEAR(A1919)*100+MONTH(A1919))</f>
        <v/>
      </c>
    </row>
    <row r="1920">
      <c r="A1920" s="18" t="n"/>
      <c r="B1920" s="19" t="n"/>
      <c r="C1920" s="19" t="n"/>
      <c r="D1920" s="19" t="n"/>
      <c r="E1920" s="20" t="n"/>
      <c r="F1920" s="20" t="n"/>
      <c r="G1920" s="19" t="n"/>
      <c r="H1920" s="21">
        <f>IF(A1920="","",YEAR(A1920)*100+MONTH(A1920))</f>
        <v/>
      </c>
    </row>
    <row r="1921">
      <c r="A1921" s="18" t="n"/>
      <c r="B1921" s="19" t="n"/>
      <c r="C1921" s="19" t="n"/>
      <c r="D1921" s="19" t="n"/>
      <c r="E1921" s="20" t="n"/>
      <c r="F1921" s="20" t="n"/>
      <c r="G1921" s="19" t="n"/>
      <c r="H1921" s="21">
        <f>IF(A1921="","",YEAR(A1921)*100+MONTH(A1921))</f>
        <v/>
      </c>
    </row>
    <row r="1922">
      <c r="A1922" s="18" t="n"/>
      <c r="B1922" s="19" t="n"/>
      <c r="C1922" s="19" t="n"/>
      <c r="D1922" s="19" t="n"/>
      <c r="E1922" s="20" t="n"/>
      <c r="F1922" s="20" t="n"/>
      <c r="G1922" s="19" t="n"/>
      <c r="H1922" s="21">
        <f>IF(A1922="","",YEAR(A1922)*100+MONTH(A1922))</f>
        <v/>
      </c>
    </row>
    <row r="1923">
      <c r="A1923" s="18" t="n"/>
      <c r="B1923" s="19" t="n"/>
      <c r="C1923" s="19" t="n"/>
      <c r="D1923" s="19" t="n"/>
      <c r="E1923" s="20" t="n"/>
      <c r="F1923" s="20" t="n"/>
      <c r="G1923" s="19" t="n"/>
      <c r="H1923" s="21">
        <f>IF(A1923="","",YEAR(A1923)*100+MONTH(A1923))</f>
        <v/>
      </c>
    </row>
    <row r="1924">
      <c r="A1924" s="18" t="n"/>
      <c r="B1924" s="19" t="n"/>
      <c r="C1924" s="19" t="n"/>
      <c r="D1924" s="19" t="n"/>
      <c r="E1924" s="20" t="n"/>
      <c r="F1924" s="20" t="n"/>
      <c r="G1924" s="19" t="n"/>
      <c r="H1924" s="21">
        <f>IF(A1924="","",YEAR(A1924)*100+MONTH(A1924))</f>
        <v/>
      </c>
    </row>
    <row r="1925">
      <c r="A1925" s="18" t="n"/>
      <c r="B1925" s="19" t="n"/>
      <c r="C1925" s="19" t="n"/>
      <c r="D1925" s="19" t="n"/>
      <c r="E1925" s="20" t="n"/>
      <c r="F1925" s="20" t="n"/>
      <c r="G1925" s="19" t="n"/>
      <c r="H1925" s="21">
        <f>IF(A1925="","",YEAR(A1925)*100+MONTH(A1925))</f>
        <v/>
      </c>
    </row>
    <row r="1926">
      <c r="A1926" s="18" t="n"/>
      <c r="B1926" s="19" t="n"/>
      <c r="C1926" s="19" t="n"/>
      <c r="D1926" s="19" t="n"/>
      <c r="E1926" s="20" t="n"/>
      <c r="F1926" s="20" t="n"/>
      <c r="G1926" s="19" t="n"/>
      <c r="H1926" s="21">
        <f>IF(A1926="","",YEAR(A1926)*100+MONTH(A1926))</f>
        <v/>
      </c>
    </row>
    <row r="1927">
      <c r="A1927" s="18" t="n"/>
      <c r="B1927" s="19" t="n"/>
      <c r="C1927" s="19" t="n"/>
      <c r="D1927" s="19" t="n"/>
      <c r="E1927" s="20" t="n"/>
      <c r="F1927" s="20" t="n"/>
      <c r="G1927" s="19" t="n"/>
      <c r="H1927" s="21">
        <f>IF(A1927="","",YEAR(A1927)*100+MONTH(A1927))</f>
        <v/>
      </c>
    </row>
    <row r="1928">
      <c r="A1928" s="18" t="n"/>
      <c r="B1928" s="19" t="n"/>
      <c r="C1928" s="19" t="n"/>
      <c r="D1928" s="19" t="n"/>
      <c r="E1928" s="20" t="n"/>
      <c r="F1928" s="20" t="n"/>
      <c r="G1928" s="19" t="n"/>
      <c r="H1928" s="21">
        <f>IF(A1928="","",YEAR(A1928)*100+MONTH(A1928))</f>
        <v/>
      </c>
    </row>
    <row r="1929">
      <c r="A1929" s="18" t="n"/>
      <c r="B1929" s="19" t="n"/>
      <c r="C1929" s="19" t="n"/>
      <c r="D1929" s="19" t="n"/>
      <c r="E1929" s="20" t="n"/>
      <c r="F1929" s="20" t="n"/>
      <c r="G1929" s="19" t="n"/>
      <c r="H1929" s="21">
        <f>IF(A1929="","",YEAR(A1929)*100+MONTH(A1929))</f>
        <v/>
      </c>
    </row>
    <row r="1930">
      <c r="A1930" s="18" t="n"/>
      <c r="B1930" s="19" t="n"/>
      <c r="C1930" s="19" t="n"/>
      <c r="D1930" s="19" t="n"/>
      <c r="E1930" s="20" t="n"/>
      <c r="F1930" s="20" t="n"/>
      <c r="G1930" s="19" t="n"/>
      <c r="H1930" s="21">
        <f>IF(A1930="","",YEAR(A1930)*100+MONTH(A1930))</f>
        <v/>
      </c>
    </row>
    <row r="1931">
      <c r="A1931" s="18" t="n"/>
      <c r="B1931" s="19" t="n"/>
      <c r="C1931" s="19" t="n"/>
      <c r="D1931" s="19" t="n"/>
      <c r="E1931" s="20" t="n"/>
      <c r="F1931" s="20" t="n"/>
      <c r="G1931" s="19" t="n"/>
      <c r="H1931" s="21">
        <f>IF(A1931="","",YEAR(A1931)*100+MONTH(A1931))</f>
        <v/>
      </c>
    </row>
    <row r="1932">
      <c r="A1932" s="18" t="n"/>
      <c r="B1932" s="19" t="n"/>
      <c r="C1932" s="19" t="n"/>
      <c r="D1932" s="19" t="n"/>
      <c r="E1932" s="20" t="n"/>
      <c r="F1932" s="20" t="n"/>
      <c r="G1932" s="19" t="n"/>
      <c r="H1932" s="21">
        <f>IF(A1932="","",YEAR(A1932)*100+MONTH(A1932))</f>
        <v/>
      </c>
    </row>
    <row r="1933">
      <c r="A1933" s="18" t="n"/>
      <c r="B1933" s="19" t="n"/>
      <c r="C1933" s="19" t="n"/>
      <c r="D1933" s="19" t="n"/>
      <c r="E1933" s="20" t="n"/>
      <c r="F1933" s="20" t="n"/>
      <c r="G1933" s="19" t="n"/>
      <c r="H1933" s="21">
        <f>IF(A1933="","",YEAR(A1933)*100+MONTH(A1933))</f>
        <v/>
      </c>
    </row>
    <row r="1934">
      <c r="A1934" s="18" t="n"/>
      <c r="B1934" s="19" t="n"/>
      <c r="C1934" s="19" t="n"/>
      <c r="D1934" s="19" t="n"/>
      <c r="E1934" s="20" t="n"/>
      <c r="F1934" s="20" t="n"/>
      <c r="G1934" s="19" t="n"/>
      <c r="H1934" s="21">
        <f>IF(A1934="","",YEAR(A1934)*100+MONTH(A1934))</f>
        <v/>
      </c>
    </row>
    <row r="1935">
      <c r="A1935" s="18" t="n"/>
      <c r="B1935" s="19" t="n"/>
      <c r="C1935" s="19" t="n"/>
      <c r="D1935" s="19" t="n"/>
      <c r="E1935" s="20" t="n"/>
      <c r="F1935" s="20" t="n"/>
      <c r="G1935" s="19" t="n"/>
      <c r="H1935" s="21">
        <f>IF(A1935="","",YEAR(A1935)*100+MONTH(A1935))</f>
        <v/>
      </c>
    </row>
    <row r="1936">
      <c r="A1936" s="18" t="n"/>
      <c r="B1936" s="19" t="n"/>
      <c r="C1936" s="19" t="n"/>
      <c r="D1936" s="19" t="n"/>
      <c r="E1936" s="20" t="n"/>
      <c r="F1936" s="20" t="n"/>
      <c r="G1936" s="19" t="n"/>
      <c r="H1936" s="21">
        <f>IF(A1936="","",YEAR(A1936)*100+MONTH(A1936))</f>
        <v/>
      </c>
    </row>
    <row r="1937">
      <c r="A1937" s="18" t="n"/>
      <c r="B1937" s="19" t="n"/>
      <c r="C1937" s="19" t="n"/>
      <c r="D1937" s="19" t="n"/>
      <c r="E1937" s="20" t="n"/>
      <c r="F1937" s="20" t="n"/>
      <c r="G1937" s="19" t="n"/>
      <c r="H1937" s="21">
        <f>IF(A1937="","",YEAR(A1937)*100+MONTH(A1937))</f>
        <v/>
      </c>
    </row>
    <row r="1938">
      <c r="A1938" s="18" t="n"/>
      <c r="B1938" s="19" t="n"/>
      <c r="C1938" s="19" t="n"/>
      <c r="D1938" s="19" t="n"/>
      <c r="E1938" s="20" t="n"/>
      <c r="F1938" s="20" t="n"/>
      <c r="G1938" s="19" t="n"/>
      <c r="H1938" s="21">
        <f>IF(A1938="","",YEAR(A1938)*100+MONTH(A1938))</f>
        <v/>
      </c>
    </row>
    <row r="1939">
      <c r="A1939" s="18" t="n"/>
      <c r="B1939" s="19" t="n"/>
      <c r="C1939" s="19" t="n"/>
      <c r="D1939" s="19" t="n"/>
      <c r="E1939" s="20" t="n"/>
      <c r="F1939" s="20" t="n"/>
      <c r="G1939" s="19" t="n"/>
      <c r="H1939" s="21">
        <f>IF(A1939="","",YEAR(A1939)*100+MONTH(A1939))</f>
        <v/>
      </c>
    </row>
    <row r="1940">
      <c r="A1940" s="18" t="n"/>
      <c r="B1940" s="19" t="n"/>
      <c r="C1940" s="19" t="n"/>
      <c r="D1940" s="19" t="n"/>
      <c r="E1940" s="20" t="n"/>
      <c r="F1940" s="20" t="n"/>
      <c r="G1940" s="19" t="n"/>
      <c r="H1940" s="21">
        <f>IF(A1940="","",YEAR(A1940)*100+MONTH(A1940))</f>
        <v/>
      </c>
    </row>
    <row r="1941">
      <c r="A1941" s="18" t="n"/>
      <c r="B1941" s="19" t="n"/>
      <c r="C1941" s="19" t="n"/>
      <c r="D1941" s="19" t="n"/>
      <c r="E1941" s="20" t="n"/>
      <c r="F1941" s="20" t="n"/>
      <c r="G1941" s="19" t="n"/>
      <c r="H1941" s="21">
        <f>IF(A1941="","",YEAR(A1941)*100+MONTH(A1941))</f>
        <v/>
      </c>
    </row>
    <row r="1942">
      <c r="A1942" s="18" t="n"/>
      <c r="B1942" s="19" t="n"/>
      <c r="C1942" s="19" t="n"/>
      <c r="D1942" s="19" t="n"/>
      <c r="E1942" s="20" t="n"/>
      <c r="F1942" s="20" t="n"/>
      <c r="G1942" s="19" t="n"/>
      <c r="H1942" s="21">
        <f>IF(A1942="","",YEAR(A1942)*100+MONTH(A1942))</f>
        <v/>
      </c>
    </row>
    <row r="1943">
      <c r="A1943" s="18" t="n"/>
      <c r="B1943" s="19" t="n"/>
      <c r="C1943" s="19" t="n"/>
      <c r="D1943" s="19" t="n"/>
      <c r="E1943" s="20" t="n"/>
      <c r="F1943" s="20" t="n"/>
      <c r="G1943" s="19" t="n"/>
      <c r="H1943" s="21">
        <f>IF(A1943="","",YEAR(A1943)*100+MONTH(A1943))</f>
        <v/>
      </c>
    </row>
    <row r="1944">
      <c r="A1944" s="18" t="n"/>
      <c r="B1944" s="19" t="n"/>
      <c r="C1944" s="19" t="n"/>
      <c r="D1944" s="19" t="n"/>
      <c r="E1944" s="20" t="n"/>
      <c r="F1944" s="20" t="n"/>
      <c r="G1944" s="19" t="n"/>
      <c r="H1944" s="21">
        <f>IF(A1944="","",YEAR(A1944)*100+MONTH(A1944))</f>
        <v/>
      </c>
    </row>
    <row r="1945">
      <c r="A1945" s="18" t="n"/>
      <c r="B1945" s="19" t="n"/>
      <c r="C1945" s="19" t="n"/>
      <c r="D1945" s="19" t="n"/>
      <c r="E1945" s="20" t="n"/>
      <c r="F1945" s="20" t="n"/>
      <c r="G1945" s="19" t="n"/>
      <c r="H1945" s="21">
        <f>IF(A1945="","",YEAR(A1945)*100+MONTH(A1945))</f>
        <v/>
      </c>
    </row>
    <row r="1946">
      <c r="A1946" s="18" t="n"/>
      <c r="B1946" s="19" t="n"/>
      <c r="C1946" s="19" t="n"/>
      <c r="D1946" s="19" t="n"/>
      <c r="E1946" s="20" t="n"/>
      <c r="F1946" s="20" t="n"/>
      <c r="G1946" s="19" t="n"/>
      <c r="H1946" s="21">
        <f>IF(A1946="","",YEAR(A1946)*100+MONTH(A1946))</f>
        <v/>
      </c>
    </row>
    <row r="1947">
      <c r="A1947" s="18" t="n"/>
      <c r="B1947" s="19" t="n"/>
      <c r="C1947" s="19" t="n"/>
      <c r="D1947" s="19" t="n"/>
      <c r="E1947" s="20" t="n"/>
      <c r="F1947" s="20" t="n"/>
      <c r="G1947" s="19" t="n"/>
      <c r="H1947" s="21">
        <f>IF(A1947="","",YEAR(A1947)*100+MONTH(A1947))</f>
        <v/>
      </c>
    </row>
    <row r="1948">
      <c r="A1948" s="18" t="n"/>
      <c r="B1948" s="19" t="n"/>
      <c r="C1948" s="19" t="n"/>
      <c r="D1948" s="19" t="n"/>
      <c r="E1948" s="20" t="n"/>
      <c r="F1948" s="20" t="n"/>
      <c r="G1948" s="19" t="n"/>
      <c r="H1948" s="21">
        <f>IF(A1948="","",YEAR(A1948)*100+MONTH(A1948))</f>
        <v/>
      </c>
    </row>
    <row r="1949">
      <c r="A1949" s="18" t="n"/>
      <c r="B1949" s="19" t="n"/>
      <c r="C1949" s="19" t="n"/>
      <c r="D1949" s="19" t="n"/>
      <c r="E1949" s="20" t="n"/>
      <c r="F1949" s="20" t="n"/>
      <c r="G1949" s="19" t="n"/>
      <c r="H1949" s="21">
        <f>IF(A1949="","",YEAR(A1949)*100+MONTH(A1949))</f>
        <v/>
      </c>
    </row>
    <row r="1950">
      <c r="A1950" s="18" t="n"/>
      <c r="B1950" s="19" t="n"/>
      <c r="C1950" s="19" t="n"/>
      <c r="D1950" s="19" t="n"/>
      <c r="E1950" s="20" t="n"/>
      <c r="F1950" s="20" t="n"/>
      <c r="G1950" s="19" t="n"/>
      <c r="H1950" s="21">
        <f>IF(A1950="","",YEAR(A1950)*100+MONTH(A1950))</f>
        <v/>
      </c>
    </row>
    <row r="1951">
      <c r="A1951" s="18" t="n"/>
      <c r="B1951" s="19" t="n"/>
      <c r="C1951" s="19" t="n"/>
      <c r="D1951" s="19" t="n"/>
      <c r="E1951" s="20" t="n"/>
      <c r="F1951" s="20" t="n"/>
      <c r="G1951" s="19" t="n"/>
      <c r="H1951" s="21">
        <f>IF(A1951="","",YEAR(A1951)*100+MONTH(A1951))</f>
        <v/>
      </c>
    </row>
    <row r="1952">
      <c r="A1952" s="18" t="n"/>
      <c r="B1952" s="19" t="n"/>
      <c r="C1952" s="19" t="n"/>
      <c r="D1952" s="19" t="n"/>
      <c r="E1952" s="20" t="n"/>
      <c r="F1952" s="20" t="n"/>
      <c r="G1952" s="19" t="n"/>
      <c r="H1952" s="21">
        <f>IF(A1952="","",YEAR(A1952)*100+MONTH(A1952))</f>
        <v/>
      </c>
    </row>
    <row r="1953">
      <c r="A1953" s="18" t="n"/>
      <c r="B1953" s="19" t="n"/>
      <c r="C1953" s="19" t="n"/>
      <c r="D1953" s="19" t="n"/>
      <c r="E1953" s="20" t="n"/>
      <c r="F1953" s="20" t="n"/>
      <c r="G1953" s="19" t="n"/>
      <c r="H1953" s="21">
        <f>IF(A1953="","",YEAR(A1953)*100+MONTH(A1953))</f>
        <v/>
      </c>
    </row>
    <row r="1954">
      <c r="A1954" s="18" t="n"/>
      <c r="B1954" s="19" t="n"/>
      <c r="C1954" s="19" t="n"/>
      <c r="D1954" s="19" t="n"/>
      <c r="E1954" s="20" t="n"/>
      <c r="F1954" s="20" t="n"/>
      <c r="G1954" s="19" t="n"/>
      <c r="H1954" s="21">
        <f>IF(A1954="","",YEAR(A1954)*100+MONTH(A1954))</f>
        <v/>
      </c>
    </row>
    <row r="1955">
      <c r="A1955" s="18" t="n"/>
      <c r="B1955" s="19" t="n"/>
      <c r="C1955" s="19" t="n"/>
      <c r="D1955" s="19" t="n"/>
      <c r="E1955" s="20" t="n"/>
      <c r="F1955" s="20" t="n"/>
      <c r="G1955" s="19" t="n"/>
      <c r="H1955" s="21">
        <f>IF(A1955="","",YEAR(A1955)*100+MONTH(A1955))</f>
        <v/>
      </c>
    </row>
    <row r="1956">
      <c r="A1956" s="18" t="n"/>
      <c r="B1956" s="19" t="n"/>
      <c r="C1956" s="19" t="n"/>
      <c r="D1956" s="19" t="n"/>
      <c r="E1956" s="20" t="n"/>
      <c r="F1956" s="20" t="n"/>
      <c r="G1956" s="19" t="n"/>
      <c r="H1956" s="21">
        <f>IF(A1956="","",YEAR(A1956)*100+MONTH(A1956))</f>
        <v/>
      </c>
    </row>
    <row r="1957">
      <c r="A1957" s="18" t="n"/>
      <c r="B1957" s="19" t="n"/>
      <c r="C1957" s="19" t="n"/>
      <c r="D1957" s="19" t="n"/>
      <c r="E1957" s="20" t="n"/>
      <c r="F1957" s="20" t="n"/>
      <c r="G1957" s="19" t="n"/>
      <c r="H1957" s="21">
        <f>IF(A1957="","",YEAR(A1957)*100+MONTH(A1957))</f>
        <v/>
      </c>
    </row>
    <row r="1958">
      <c r="A1958" s="18" t="n"/>
      <c r="B1958" s="19" t="n"/>
      <c r="C1958" s="19" t="n"/>
      <c r="D1958" s="19" t="n"/>
      <c r="E1958" s="20" t="n"/>
      <c r="F1958" s="20" t="n"/>
      <c r="G1958" s="19" t="n"/>
      <c r="H1958" s="21">
        <f>IF(A1958="","",YEAR(A1958)*100+MONTH(A1958))</f>
        <v/>
      </c>
    </row>
    <row r="1959">
      <c r="A1959" s="18" t="n"/>
      <c r="B1959" s="19" t="n"/>
      <c r="C1959" s="19" t="n"/>
      <c r="D1959" s="19" t="n"/>
      <c r="E1959" s="20" t="n"/>
      <c r="F1959" s="20" t="n"/>
      <c r="G1959" s="19" t="n"/>
      <c r="H1959" s="21">
        <f>IF(A1959="","",YEAR(A1959)*100+MONTH(A1959))</f>
        <v/>
      </c>
    </row>
    <row r="1960">
      <c r="A1960" s="18" t="n"/>
      <c r="B1960" s="19" t="n"/>
      <c r="C1960" s="19" t="n"/>
      <c r="D1960" s="19" t="n"/>
      <c r="E1960" s="20" t="n"/>
      <c r="F1960" s="20" t="n"/>
      <c r="G1960" s="19" t="n"/>
      <c r="H1960" s="21">
        <f>IF(A1960="","",YEAR(A1960)*100+MONTH(A1960))</f>
        <v/>
      </c>
    </row>
    <row r="1961">
      <c r="A1961" s="18" t="n"/>
      <c r="B1961" s="19" t="n"/>
      <c r="C1961" s="19" t="n"/>
      <c r="D1961" s="19" t="n"/>
      <c r="E1961" s="20" t="n"/>
      <c r="F1961" s="20" t="n"/>
      <c r="G1961" s="19" t="n"/>
      <c r="H1961" s="21">
        <f>IF(A1961="","",YEAR(A1961)*100+MONTH(A1961))</f>
        <v/>
      </c>
    </row>
    <row r="1962">
      <c r="A1962" s="18" t="n"/>
      <c r="B1962" s="19" t="n"/>
      <c r="C1962" s="19" t="n"/>
      <c r="D1962" s="19" t="n"/>
      <c r="E1962" s="20" t="n"/>
      <c r="F1962" s="20" t="n"/>
      <c r="G1962" s="19" t="n"/>
      <c r="H1962" s="21">
        <f>IF(A1962="","",YEAR(A1962)*100+MONTH(A1962))</f>
        <v/>
      </c>
    </row>
    <row r="1963">
      <c r="A1963" s="18" t="n"/>
      <c r="B1963" s="19" t="n"/>
      <c r="C1963" s="19" t="n"/>
      <c r="D1963" s="19" t="n"/>
      <c r="E1963" s="20" t="n"/>
      <c r="F1963" s="20" t="n"/>
      <c r="G1963" s="19" t="n"/>
      <c r="H1963" s="21">
        <f>IF(A1963="","",YEAR(A1963)*100+MONTH(A1963))</f>
        <v/>
      </c>
    </row>
    <row r="1964">
      <c r="A1964" s="18" t="n"/>
      <c r="B1964" s="19" t="n"/>
      <c r="C1964" s="19" t="n"/>
      <c r="D1964" s="19" t="n"/>
      <c r="E1964" s="20" t="n"/>
      <c r="F1964" s="20" t="n"/>
      <c r="G1964" s="19" t="n"/>
      <c r="H1964" s="21">
        <f>IF(A1964="","",YEAR(A1964)*100+MONTH(A1964))</f>
        <v/>
      </c>
    </row>
    <row r="1965">
      <c r="A1965" s="18" t="n"/>
      <c r="B1965" s="19" t="n"/>
      <c r="C1965" s="19" t="n"/>
      <c r="D1965" s="19" t="n"/>
      <c r="E1965" s="20" t="n"/>
      <c r="F1965" s="20" t="n"/>
      <c r="G1965" s="19" t="n"/>
      <c r="H1965" s="21">
        <f>IF(A1965="","",YEAR(A1965)*100+MONTH(A1965))</f>
        <v/>
      </c>
    </row>
    <row r="1966">
      <c r="A1966" s="18" t="n"/>
      <c r="B1966" s="19" t="n"/>
      <c r="C1966" s="19" t="n"/>
      <c r="D1966" s="19" t="n"/>
      <c r="E1966" s="20" t="n"/>
      <c r="F1966" s="20" t="n"/>
      <c r="G1966" s="19" t="n"/>
      <c r="H1966" s="21">
        <f>IF(A1966="","",YEAR(A1966)*100+MONTH(A1966))</f>
        <v/>
      </c>
    </row>
    <row r="1967">
      <c r="A1967" s="18" t="n"/>
      <c r="B1967" s="19" t="n"/>
      <c r="C1967" s="19" t="n"/>
      <c r="D1967" s="19" t="n"/>
      <c r="E1967" s="20" t="n"/>
      <c r="F1967" s="20" t="n"/>
      <c r="G1967" s="19" t="n"/>
      <c r="H1967" s="21">
        <f>IF(A1967="","",YEAR(A1967)*100+MONTH(A1967))</f>
        <v/>
      </c>
    </row>
    <row r="1968">
      <c r="A1968" s="18" t="n"/>
      <c r="B1968" s="19" t="n"/>
      <c r="C1968" s="19" t="n"/>
      <c r="D1968" s="19" t="n"/>
      <c r="E1968" s="20" t="n"/>
      <c r="F1968" s="20" t="n"/>
      <c r="G1968" s="19" t="n"/>
      <c r="H1968" s="21">
        <f>IF(A1968="","",YEAR(A1968)*100+MONTH(A1968))</f>
        <v/>
      </c>
    </row>
    <row r="1969">
      <c r="A1969" s="18" t="n"/>
      <c r="B1969" s="19" t="n"/>
      <c r="C1969" s="19" t="n"/>
      <c r="D1969" s="19" t="n"/>
      <c r="E1969" s="20" t="n"/>
      <c r="F1969" s="20" t="n"/>
      <c r="G1969" s="19" t="n"/>
      <c r="H1969" s="21">
        <f>IF(A1969="","",YEAR(A1969)*100+MONTH(A1969))</f>
        <v/>
      </c>
    </row>
    <row r="1970">
      <c r="A1970" s="18" t="n"/>
      <c r="B1970" s="19" t="n"/>
      <c r="C1970" s="19" t="n"/>
      <c r="D1970" s="19" t="n"/>
      <c r="E1970" s="20" t="n"/>
      <c r="F1970" s="20" t="n"/>
      <c r="G1970" s="19" t="n"/>
      <c r="H1970" s="21">
        <f>IF(A1970="","",YEAR(A1970)*100+MONTH(A1970))</f>
        <v/>
      </c>
    </row>
    <row r="1971">
      <c r="A1971" s="18" t="n"/>
      <c r="B1971" s="19" t="n"/>
      <c r="C1971" s="19" t="n"/>
      <c r="D1971" s="19" t="n"/>
      <c r="E1971" s="20" t="n"/>
      <c r="F1971" s="20" t="n"/>
      <c r="G1971" s="19" t="n"/>
      <c r="H1971" s="21">
        <f>IF(A1971="","",YEAR(A1971)*100+MONTH(A1971))</f>
        <v/>
      </c>
    </row>
    <row r="1972">
      <c r="A1972" s="18" t="n"/>
      <c r="B1972" s="19" t="n"/>
      <c r="C1972" s="19" t="n"/>
      <c r="D1972" s="19" t="n"/>
      <c r="E1972" s="20" t="n"/>
      <c r="F1972" s="20" t="n"/>
      <c r="G1972" s="19" t="n"/>
      <c r="H1972" s="21">
        <f>IF(A1972="","",YEAR(A1972)*100+MONTH(A1972))</f>
        <v/>
      </c>
    </row>
    <row r="1973">
      <c r="A1973" s="18" t="n"/>
      <c r="B1973" s="19" t="n"/>
      <c r="C1973" s="19" t="n"/>
      <c r="D1973" s="19" t="n"/>
      <c r="E1973" s="20" t="n"/>
      <c r="F1973" s="20" t="n"/>
      <c r="G1973" s="19" t="n"/>
      <c r="H1973" s="21">
        <f>IF(A1973="","",YEAR(A1973)*100+MONTH(A1973))</f>
        <v/>
      </c>
    </row>
    <row r="1974">
      <c r="A1974" s="18" t="n"/>
      <c r="B1974" s="19" t="n"/>
      <c r="C1974" s="19" t="n"/>
      <c r="D1974" s="19" t="n"/>
      <c r="E1974" s="20" t="n"/>
      <c r="F1974" s="20" t="n"/>
      <c r="G1974" s="19" t="n"/>
      <c r="H1974" s="21">
        <f>IF(A1974="","",YEAR(A1974)*100+MONTH(A1974))</f>
        <v/>
      </c>
    </row>
    <row r="1975">
      <c r="A1975" s="18" t="n"/>
      <c r="B1975" s="19" t="n"/>
      <c r="C1975" s="19" t="n"/>
      <c r="D1975" s="19" t="n"/>
      <c r="E1975" s="20" t="n"/>
      <c r="F1975" s="20" t="n"/>
      <c r="G1975" s="19" t="n"/>
      <c r="H1975" s="21">
        <f>IF(A1975="","",YEAR(A1975)*100+MONTH(A1975))</f>
        <v/>
      </c>
    </row>
    <row r="1976">
      <c r="A1976" s="18" t="n"/>
      <c r="B1976" s="19" t="n"/>
      <c r="C1976" s="19" t="n"/>
      <c r="D1976" s="19" t="n"/>
      <c r="E1976" s="20" t="n"/>
      <c r="F1976" s="20" t="n"/>
      <c r="G1976" s="19" t="n"/>
      <c r="H1976" s="21">
        <f>IF(A1976="","",YEAR(A1976)*100+MONTH(A1976))</f>
        <v/>
      </c>
    </row>
    <row r="1977">
      <c r="A1977" s="18" t="n"/>
      <c r="B1977" s="19" t="n"/>
      <c r="C1977" s="19" t="n"/>
      <c r="D1977" s="19" t="n"/>
      <c r="E1977" s="20" t="n"/>
      <c r="F1977" s="20" t="n"/>
      <c r="G1977" s="19" t="n"/>
      <c r="H1977" s="21">
        <f>IF(A1977="","",YEAR(A1977)*100+MONTH(A1977))</f>
        <v/>
      </c>
    </row>
    <row r="1978">
      <c r="A1978" s="18" t="n"/>
      <c r="B1978" s="19" t="n"/>
      <c r="C1978" s="19" t="n"/>
      <c r="D1978" s="19" t="n"/>
      <c r="E1978" s="20" t="n"/>
      <c r="F1978" s="20" t="n"/>
      <c r="G1978" s="19" t="n"/>
      <c r="H1978" s="21">
        <f>IF(A1978="","",YEAR(A1978)*100+MONTH(A1978))</f>
        <v/>
      </c>
    </row>
    <row r="1979">
      <c r="A1979" s="18" t="n"/>
      <c r="B1979" s="19" t="n"/>
      <c r="C1979" s="19" t="n"/>
      <c r="D1979" s="19" t="n"/>
      <c r="E1979" s="20" t="n"/>
      <c r="F1979" s="20" t="n"/>
      <c r="G1979" s="19" t="n"/>
      <c r="H1979" s="21">
        <f>IF(A1979="","",YEAR(A1979)*100+MONTH(A1979))</f>
        <v/>
      </c>
    </row>
    <row r="1980">
      <c r="A1980" s="18" t="n"/>
      <c r="B1980" s="19" t="n"/>
      <c r="C1980" s="19" t="n"/>
      <c r="D1980" s="19" t="n"/>
      <c r="E1980" s="20" t="n"/>
      <c r="F1980" s="20" t="n"/>
      <c r="G1980" s="19" t="n"/>
      <c r="H1980" s="21">
        <f>IF(A1980="","",YEAR(A1980)*100+MONTH(A1980))</f>
        <v/>
      </c>
    </row>
    <row r="1981">
      <c r="A1981" s="18" t="n"/>
      <c r="B1981" s="19" t="n"/>
      <c r="C1981" s="19" t="n"/>
      <c r="D1981" s="19" t="n"/>
      <c r="E1981" s="20" t="n"/>
      <c r="F1981" s="20" t="n"/>
      <c r="G1981" s="19" t="n"/>
      <c r="H1981" s="21">
        <f>IF(A1981="","",YEAR(A1981)*100+MONTH(A1981))</f>
        <v/>
      </c>
    </row>
    <row r="1982">
      <c r="A1982" s="18" t="n"/>
      <c r="B1982" s="19" t="n"/>
      <c r="C1982" s="19" t="n"/>
      <c r="D1982" s="19" t="n"/>
      <c r="E1982" s="20" t="n"/>
      <c r="F1982" s="20" t="n"/>
      <c r="G1982" s="19" t="n"/>
      <c r="H1982" s="21">
        <f>IF(A1982="","",YEAR(A1982)*100+MONTH(A1982))</f>
        <v/>
      </c>
    </row>
    <row r="1983">
      <c r="A1983" s="18" t="n"/>
      <c r="B1983" s="19" t="n"/>
      <c r="C1983" s="19" t="n"/>
      <c r="D1983" s="19" t="n"/>
      <c r="E1983" s="20" t="n"/>
      <c r="F1983" s="20" t="n"/>
      <c r="G1983" s="19" t="n"/>
      <c r="H1983" s="21">
        <f>IF(A1983="","",YEAR(A1983)*100+MONTH(A1983))</f>
        <v/>
      </c>
    </row>
    <row r="1984">
      <c r="A1984" s="18" t="n"/>
      <c r="B1984" s="19" t="n"/>
      <c r="C1984" s="19" t="n"/>
      <c r="D1984" s="19" t="n"/>
      <c r="E1984" s="20" t="n"/>
      <c r="F1984" s="20" t="n"/>
      <c r="G1984" s="19" t="n"/>
      <c r="H1984" s="21">
        <f>IF(A1984="","",YEAR(A1984)*100+MONTH(A1984))</f>
        <v/>
      </c>
    </row>
    <row r="1985">
      <c r="A1985" s="18" t="n"/>
      <c r="B1985" s="19" t="n"/>
      <c r="C1985" s="19" t="n"/>
      <c r="D1985" s="19" t="n"/>
      <c r="E1985" s="20" t="n"/>
      <c r="F1985" s="20" t="n"/>
      <c r="G1985" s="19" t="n"/>
      <c r="H1985" s="21">
        <f>IF(A1985="","",YEAR(A1985)*100+MONTH(A1985))</f>
        <v/>
      </c>
    </row>
    <row r="1986">
      <c r="A1986" s="18" t="n"/>
      <c r="B1986" s="19" t="n"/>
      <c r="C1986" s="19" t="n"/>
      <c r="D1986" s="19" t="n"/>
      <c r="E1986" s="20" t="n"/>
      <c r="F1986" s="20" t="n"/>
      <c r="G1986" s="19" t="n"/>
      <c r="H1986" s="21">
        <f>IF(A1986="","",YEAR(A1986)*100+MONTH(A1986))</f>
        <v/>
      </c>
    </row>
    <row r="1987">
      <c r="A1987" s="18" t="n"/>
      <c r="B1987" s="19" t="n"/>
      <c r="C1987" s="19" t="n"/>
      <c r="D1987" s="19" t="n"/>
      <c r="E1987" s="20" t="n"/>
      <c r="F1987" s="20" t="n"/>
      <c r="G1987" s="19" t="n"/>
      <c r="H1987" s="21">
        <f>IF(A1987="","",YEAR(A1987)*100+MONTH(A1987))</f>
        <v/>
      </c>
    </row>
    <row r="1988">
      <c r="A1988" s="18" t="n"/>
      <c r="B1988" s="19" t="n"/>
      <c r="C1988" s="19" t="n"/>
      <c r="D1988" s="19" t="n"/>
      <c r="E1988" s="20" t="n"/>
      <c r="F1988" s="20" t="n"/>
      <c r="G1988" s="19" t="n"/>
      <c r="H1988" s="21">
        <f>IF(A1988="","",YEAR(A1988)*100+MONTH(A1988))</f>
        <v/>
      </c>
    </row>
    <row r="1989">
      <c r="A1989" s="18" t="n"/>
      <c r="B1989" s="19" t="n"/>
      <c r="C1989" s="19" t="n"/>
      <c r="D1989" s="19" t="n"/>
      <c r="E1989" s="20" t="n"/>
      <c r="F1989" s="20" t="n"/>
      <c r="G1989" s="19" t="n"/>
      <c r="H1989" s="21">
        <f>IF(A1989="","",YEAR(A1989)*100+MONTH(A1989))</f>
        <v/>
      </c>
    </row>
    <row r="1990">
      <c r="A1990" s="18" t="n"/>
      <c r="B1990" s="19" t="n"/>
      <c r="C1990" s="19" t="n"/>
      <c r="D1990" s="19" t="n"/>
      <c r="E1990" s="20" t="n"/>
      <c r="F1990" s="20" t="n"/>
      <c r="G1990" s="19" t="n"/>
      <c r="H1990" s="21">
        <f>IF(A1990="","",YEAR(A1990)*100+MONTH(A1990))</f>
        <v/>
      </c>
    </row>
    <row r="1991">
      <c r="A1991" s="18" t="n"/>
      <c r="B1991" s="19" t="n"/>
      <c r="C1991" s="19" t="n"/>
      <c r="D1991" s="19" t="n"/>
      <c r="E1991" s="20" t="n"/>
      <c r="F1991" s="20" t="n"/>
      <c r="G1991" s="19" t="n"/>
      <c r="H1991" s="21">
        <f>IF(A1991="","",YEAR(A1991)*100+MONTH(A1991))</f>
        <v/>
      </c>
    </row>
    <row r="1992">
      <c r="A1992" s="18" t="n"/>
      <c r="B1992" s="19" t="n"/>
      <c r="C1992" s="19" t="n"/>
      <c r="D1992" s="19" t="n"/>
      <c r="E1992" s="20" t="n"/>
      <c r="F1992" s="20" t="n"/>
      <c r="G1992" s="19" t="n"/>
      <c r="H1992" s="21">
        <f>IF(A1992="","",YEAR(A1992)*100+MONTH(A1992))</f>
        <v/>
      </c>
    </row>
    <row r="1993">
      <c r="A1993" s="18" t="n"/>
      <c r="B1993" s="19" t="n"/>
      <c r="C1993" s="19" t="n"/>
      <c r="D1993" s="19" t="n"/>
      <c r="E1993" s="20" t="n"/>
      <c r="F1993" s="20" t="n"/>
      <c r="G1993" s="19" t="n"/>
      <c r="H1993" s="21">
        <f>IF(A1993="","",YEAR(A1993)*100+MONTH(A1993))</f>
        <v/>
      </c>
    </row>
    <row r="1994">
      <c r="A1994" s="18" t="n"/>
      <c r="B1994" s="19" t="n"/>
      <c r="C1994" s="19" t="n"/>
      <c r="D1994" s="19" t="n"/>
      <c r="E1994" s="20" t="n"/>
      <c r="F1994" s="20" t="n"/>
      <c r="G1994" s="19" t="n"/>
      <c r="H1994" s="21">
        <f>IF(A1994="","",YEAR(A1994)*100+MONTH(A1994))</f>
        <v/>
      </c>
    </row>
    <row r="1995">
      <c r="A1995" s="18" t="n"/>
      <c r="B1995" s="19" t="n"/>
      <c r="C1995" s="19" t="n"/>
      <c r="D1995" s="19" t="n"/>
      <c r="E1995" s="20" t="n"/>
      <c r="F1995" s="20" t="n"/>
      <c r="G1995" s="19" t="n"/>
      <c r="H1995" s="21">
        <f>IF(A1995="","",YEAR(A1995)*100+MONTH(A1995))</f>
        <v/>
      </c>
    </row>
    <row r="1996">
      <c r="A1996" s="18" t="n"/>
      <c r="B1996" s="19" t="n"/>
      <c r="C1996" s="19" t="n"/>
      <c r="D1996" s="19" t="n"/>
      <c r="E1996" s="20" t="n"/>
      <c r="F1996" s="20" t="n"/>
      <c r="G1996" s="19" t="n"/>
      <c r="H1996" s="21">
        <f>IF(A1996="","",YEAR(A1996)*100+MONTH(A1996))</f>
        <v/>
      </c>
    </row>
    <row r="1997">
      <c r="A1997" s="18" t="n"/>
      <c r="B1997" s="19" t="n"/>
      <c r="C1997" s="19" t="n"/>
      <c r="D1997" s="19" t="n"/>
      <c r="E1997" s="20" t="n"/>
      <c r="F1997" s="20" t="n"/>
      <c r="G1997" s="19" t="n"/>
      <c r="H1997" s="21">
        <f>IF(A1997="","",YEAR(A1997)*100+MONTH(A1997))</f>
        <v/>
      </c>
    </row>
    <row r="1998">
      <c r="A1998" s="18" t="n"/>
      <c r="B1998" s="19" t="n"/>
      <c r="C1998" s="19" t="n"/>
      <c r="D1998" s="19" t="n"/>
      <c r="E1998" s="20" t="n"/>
      <c r="F1998" s="20" t="n"/>
      <c r="G1998" s="19" t="n"/>
      <c r="H1998" s="21">
        <f>IF(A1998="","",YEAR(A1998)*100+MONTH(A1998))</f>
        <v/>
      </c>
    </row>
    <row r="1999">
      <c r="A1999" s="18" t="n"/>
      <c r="B1999" s="19" t="n"/>
      <c r="C1999" s="19" t="n"/>
      <c r="D1999" s="19" t="n"/>
      <c r="E1999" s="20" t="n"/>
      <c r="F1999" s="20" t="n"/>
      <c r="G1999" s="19" t="n"/>
      <c r="H1999" s="21">
        <f>IF(A1999="","",YEAR(A1999)*100+MONTH(A1999))</f>
        <v/>
      </c>
    </row>
    <row r="2000">
      <c r="A2000" s="18" t="n"/>
      <c r="B2000" s="19" t="n"/>
      <c r="C2000" s="19" t="n"/>
      <c r="D2000" s="19" t="n"/>
      <c r="E2000" s="20" t="n"/>
      <c r="F2000" s="20" t="n"/>
      <c r="G2000" s="19" t="n"/>
      <c r="H2000" s="21">
        <f>IF(A2000="","",YEAR(A2000)*100+MONTH(A2000))</f>
        <v/>
      </c>
    </row>
    <row r="2001">
      <c r="A2001" s="18" t="n"/>
      <c r="B2001" s="19" t="n"/>
      <c r="C2001" s="19" t="n"/>
      <c r="D2001" s="19" t="n"/>
      <c r="E2001" s="20" t="n"/>
      <c r="F2001" s="20" t="n"/>
      <c r="G2001" s="19" t="n"/>
      <c r="H2001" s="21">
        <f>IF(A2001="","",YEAR(A2001)*100+MONTH(A2001))</f>
        <v/>
      </c>
    </row>
    <row r="2002">
      <c r="A2002" s="18" t="n"/>
      <c r="B2002" s="19" t="n"/>
      <c r="C2002" s="19" t="n"/>
      <c r="D2002" s="19" t="n"/>
      <c r="E2002" s="20" t="n"/>
      <c r="F2002" s="20" t="n"/>
      <c r="G2002" s="19" t="n"/>
      <c r="H2002" s="21">
        <f>IF(A2002="","",YEAR(A2002)*100+MONTH(A2002))</f>
        <v/>
      </c>
    </row>
    <row r="2003">
      <c r="A2003" s="18" t="n"/>
      <c r="B2003" s="19" t="n"/>
      <c r="C2003" s="19" t="n"/>
      <c r="D2003" s="19" t="n"/>
      <c r="E2003" s="20" t="n"/>
      <c r="F2003" s="20" t="n"/>
      <c r="G2003" s="19" t="n"/>
      <c r="H2003" s="21">
        <f>IF(A2003="","",YEAR(A2003)*100+MONTH(A2003))</f>
        <v/>
      </c>
    </row>
    <row r="2004">
      <c r="A2004" s="18" t="n"/>
      <c r="B2004" s="19" t="n"/>
      <c r="C2004" s="19" t="n"/>
      <c r="D2004" s="19" t="n"/>
      <c r="E2004" s="20" t="n"/>
      <c r="F2004" s="20" t="n"/>
      <c r="G2004" s="19" t="n"/>
      <c r="H2004" s="21">
        <f>IF(A2004="","",YEAR(A2004)*100+MONTH(A2004))</f>
        <v/>
      </c>
    </row>
    <row r="2005">
      <c r="A2005" s="18" t="n"/>
      <c r="B2005" s="19" t="n"/>
      <c r="C2005" s="19" t="n"/>
      <c r="D2005" s="19" t="n"/>
      <c r="E2005" s="20" t="n"/>
      <c r="F2005" s="20" t="n"/>
      <c r="G2005" s="19" t="n"/>
      <c r="H2005" s="21">
        <f>IF(A2005="","",YEAR(A2005)*100+MONTH(A2005))</f>
        <v/>
      </c>
    </row>
    <row r="2006">
      <c r="A2006" s="18" t="n"/>
      <c r="B2006" s="19" t="n"/>
      <c r="C2006" s="19" t="n"/>
      <c r="D2006" s="19" t="n"/>
      <c r="E2006" s="20" t="n"/>
      <c r="F2006" s="20" t="n"/>
      <c r="G2006" s="19" t="n"/>
      <c r="H2006" s="21">
        <f>IF(A2006="","",YEAR(A2006)*100+MONTH(A2006))</f>
        <v/>
      </c>
    </row>
    <row r="2007">
      <c r="A2007" s="18" t="n"/>
      <c r="B2007" s="19" t="n"/>
      <c r="C2007" s="19" t="n"/>
      <c r="D2007" s="19" t="n"/>
      <c r="E2007" s="20" t="n"/>
      <c r="F2007" s="20" t="n"/>
      <c r="G2007" s="19" t="n"/>
      <c r="H2007" s="21">
        <f>IF(A2007="","",YEAR(A2007)*100+MONTH(A2007))</f>
        <v/>
      </c>
    </row>
    <row r="2008">
      <c r="A2008" s="18" t="n"/>
      <c r="B2008" s="19" t="n"/>
      <c r="C2008" s="19" t="n"/>
      <c r="D2008" s="19" t="n"/>
      <c r="E2008" s="20" t="n"/>
      <c r="F2008" s="20" t="n"/>
      <c r="G2008" s="19" t="n"/>
      <c r="H2008" s="21">
        <f>IF(A2008="","",YEAR(A2008)*100+MONTH(A2008))</f>
        <v/>
      </c>
    </row>
    <row r="2009">
      <c r="A2009" s="18" t="n"/>
      <c r="B2009" s="19" t="n"/>
      <c r="C2009" s="19" t="n"/>
      <c r="D2009" s="19" t="n"/>
      <c r="E2009" s="20" t="n"/>
      <c r="F2009" s="20" t="n"/>
      <c r="G2009" s="19" t="n"/>
      <c r="H2009" s="21">
        <f>IF(A2009="","",YEAR(A2009)*100+MONTH(A2009))</f>
        <v/>
      </c>
    </row>
    <row r="2010">
      <c r="A2010" s="18" t="n"/>
      <c r="B2010" s="19" t="n"/>
      <c r="C2010" s="19" t="n"/>
      <c r="D2010" s="19" t="n"/>
      <c r="E2010" s="20" t="n"/>
      <c r="F2010" s="20" t="n"/>
      <c r="G2010" s="19" t="n"/>
      <c r="H2010" s="21">
        <f>IF(A2010="","",YEAR(A2010)*100+MONTH(A2010))</f>
        <v/>
      </c>
    </row>
    <row r="2011">
      <c r="A2011" s="18" t="n"/>
      <c r="B2011" s="19" t="n"/>
      <c r="C2011" s="19" t="n"/>
      <c r="D2011" s="19" t="n"/>
      <c r="E2011" s="20" t="n"/>
      <c r="F2011" s="20" t="n"/>
      <c r="G2011" s="19" t="n"/>
      <c r="H2011" s="21">
        <f>IF(A2011="","",YEAR(A2011)*100+MONTH(A2011))</f>
        <v/>
      </c>
    </row>
    <row r="2012">
      <c r="A2012" s="18" t="n"/>
      <c r="B2012" s="19" t="n"/>
      <c r="C2012" s="19" t="n"/>
      <c r="D2012" s="19" t="n"/>
      <c r="E2012" s="20" t="n"/>
      <c r="F2012" s="20" t="n"/>
      <c r="G2012" s="19" t="n"/>
      <c r="H2012" s="21">
        <f>IF(A2012="","",YEAR(A2012)*100+MONTH(A2012))</f>
        <v/>
      </c>
    </row>
    <row r="2013">
      <c r="A2013" s="18" t="n"/>
      <c r="B2013" s="19" t="n"/>
      <c r="C2013" s="19" t="n"/>
      <c r="D2013" s="19" t="n"/>
      <c r="E2013" s="20" t="n"/>
      <c r="F2013" s="20" t="n"/>
      <c r="G2013" s="19" t="n"/>
      <c r="H2013" s="21">
        <f>IF(A2013="","",YEAR(A2013)*100+MONTH(A2013))</f>
        <v/>
      </c>
    </row>
    <row r="2014">
      <c r="A2014" s="18" t="n"/>
      <c r="B2014" s="19" t="n"/>
      <c r="C2014" s="19" t="n"/>
      <c r="D2014" s="19" t="n"/>
      <c r="E2014" s="20" t="n"/>
      <c r="F2014" s="20" t="n"/>
      <c r="G2014" s="19" t="n"/>
      <c r="H2014" s="21">
        <f>IF(A2014="","",YEAR(A2014)*100+MONTH(A2014))</f>
        <v/>
      </c>
    </row>
    <row r="2015">
      <c r="A2015" s="18" t="n"/>
      <c r="B2015" s="19" t="n"/>
      <c r="C2015" s="19" t="n"/>
      <c r="D2015" s="19" t="n"/>
      <c r="E2015" s="20" t="n"/>
      <c r="F2015" s="20" t="n"/>
      <c r="G2015" s="19" t="n"/>
      <c r="H2015" s="21">
        <f>IF(A2015="","",YEAR(A2015)*100+MONTH(A2015))</f>
        <v/>
      </c>
    </row>
    <row r="2016">
      <c r="A2016" s="18" t="n"/>
      <c r="B2016" s="19" t="n"/>
      <c r="C2016" s="19" t="n"/>
      <c r="D2016" s="19" t="n"/>
      <c r="E2016" s="20" t="n"/>
      <c r="F2016" s="20" t="n"/>
      <c r="G2016" s="19" t="n"/>
      <c r="H2016" s="21">
        <f>IF(A2016="","",YEAR(A2016)*100+MONTH(A2016))</f>
        <v/>
      </c>
    </row>
    <row r="2017">
      <c r="A2017" s="18" t="n"/>
      <c r="B2017" s="19" t="n"/>
      <c r="C2017" s="19" t="n"/>
      <c r="D2017" s="19" t="n"/>
      <c r="E2017" s="20" t="n"/>
      <c r="F2017" s="20" t="n"/>
      <c r="G2017" s="19" t="n"/>
      <c r="H2017" s="21">
        <f>IF(A2017="","",YEAR(A2017)*100+MONTH(A2017))</f>
        <v/>
      </c>
    </row>
    <row r="2018">
      <c r="A2018" s="18" t="n"/>
      <c r="B2018" s="19" t="n"/>
      <c r="C2018" s="19" t="n"/>
      <c r="D2018" s="19" t="n"/>
      <c r="E2018" s="20" t="n"/>
      <c r="F2018" s="20" t="n"/>
      <c r="G2018" s="19" t="n"/>
      <c r="H2018" s="21">
        <f>IF(A2018="","",YEAR(A2018)*100+MONTH(A2018))</f>
        <v/>
      </c>
    </row>
    <row r="2019">
      <c r="A2019" s="18" t="n"/>
      <c r="B2019" s="19" t="n"/>
      <c r="C2019" s="19" t="n"/>
      <c r="D2019" s="19" t="n"/>
      <c r="E2019" s="20" t="n"/>
      <c r="F2019" s="20" t="n"/>
      <c r="G2019" s="19" t="n"/>
      <c r="H2019" s="21">
        <f>IF(A2019="","",YEAR(A2019)*100+MONTH(A2019))</f>
        <v/>
      </c>
    </row>
    <row r="2020">
      <c r="A2020" s="18" t="n"/>
      <c r="B2020" s="19" t="n"/>
      <c r="C2020" s="19" t="n"/>
      <c r="D2020" s="19" t="n"/>
      <c r="E2020" s="20" t="n"/>
      <c r="F2020" s="20" t="n"/>
      <c r="G2020" s="19" t="n"/>
      <c r="H2020" s="21">
        <f>IF(A2020="","",YEAR(A2020)*100+MONTH(A2020))</f>
        <v/>
      </c>
    </row>
    <row r="2021">
      <c r="A2021" s="18" t="n"/>
      <c r="B2021" s="19" t="n"/>
      <c r="C2021" s="19" t="n"/>
      <c r="D2021" s="19" t="n"/>
      <c r="E2021" s="20" t="n"/>
      <c r="F2021" s="20" t="n"/>
      <c r="G2021" s="19" t="n"/>
      <c r="H2021" s="21">
        <f>IF(A2021="","",YEAR(A2021)*100+MONTH(A2021))</f>
        <v/>
      </c>
    </row>
    <row r="2022">
      <c r="A2022" s="18" t="n"/>
      <c r="B2022" s="19" t="n"/>
      <c r="C2022" s="19" t="n"/>
      <c r="D2022" s="19" t="n"/>
      <c r="E2022" s="20" t="n"/>
      <c r="F2022" s="20" t="n"/>
      <c r="G2022" s="19" t="n"/>
      <c r="H2022" s="21">
        <f>IF(A2022="","",YEAR(A2022)*100+MONTH(A2022))</f>
        <v/>
      </c>
    </row>
    <row r="2023">
      <c r="A2023" s="18" t="n"/>
      <c r="B2023" s="19" t="n"/>
      <c r="C2023" s="19" t="n"/>
      <c r="D2023" s="19" t="n"/>
      <c r="E2023" s="20" t="n"/>
      <c r="F2023" s="20" t="n"/>
      <c r="G2023" s="19" t="n"/>
      <c r="H2023" s="21">
        <f>IF(A2023="","",YEAR(A2023)*100+MONTH(A2023))</f>
        <v/>
      </c>
    </row>
    <row r="2024">
      <c r="A2024" s="18" t="n"/>
      <c r="B2024" s="19" t="n"/>
      <c r="C2024" s="19" t="n"/>
      <c r="D2024" s="19" t="n"/>
      <c r="E2024" s="20" t="n"/>
      <c r="F2024" s="20" t="n"/>
      <c r="G2024" s="19" t="n"/>
      <c r="H2024" s="21">
        <f>IF(A2024="","",YEAR(A2024)*100+MONTH(A2024))</f>
        <v/>
      </c>
    </row>
    <row r="2025">
      <c r="A2025" s="18" t="n"/>
      <c r="B2025" s="19" t="n"/>
      <c r="C2025" s="19" t="n"/>
      <c r="D2025" s="19" t="n"/>
      <c r="E2025" s="20" t="n"/>
      <c r="F2025" s="20" t="n"/>
      <c r="G2025" s="19" t="n"/>
      <c r="H2025" s="21">
        <f>IF(A2025="","",YEAR(A2025)*100+MONTH(A2025))</f>
        <v/>
      </c>
    </row>
    <row r="2026">
      <c r="A2026" s="18" t="n"/>
      <c r="B2026" s="19" t="n"/>
      <c r="C2026" s="19" t="n"/>
      <c r="D2026" s="19" t="n"/>
      <c r="E2026" s="20" t="n"/>
      <c r="F2026" s="20" t="n"/>
      <c r="G2026" s="19" t="n"/>
      <c r="H2026" s="21">
        <f>IF(A2026="","",YEAR(A2026)*100+MONTH(A2026))</f>
        <v/>
      </c>
    </row>
    <row r="2027">
      <c r="A2027" s="18" t="n"/>
      <c r="B2027" s="19" t="n"/>
      <c r="C2027" s="19" t="n"/>
      <c r="D2027" s="19" t="n"/>
      <c r="E2027" s="20" t="n"/>
      <c r="F2027" s="20" t="n"/>
      <c r="G2027" s="19" t="n"/>
      <c r="H2027" s="21">
        <f>IF(A2027="","",YEAR(A2027)*100+MONTH(A2027))</f>
        <v/>
      </c>
    </row>
    <row r="2028">
      <c r="A2028" s="18" t="n"/>
      <c r="B2028" s="19" t="n"/>
      <c r="C2028" s="19" t="n"/>
      <c r="D2028" s="19" t="n"/>
      <c r="E2028" s="20" t="n"/>
      <c r="F2028" s="20" t="n"/>
      <c r="G2028" s="19" t="n"/>
      <c r="H2028" s="21">
        <f>IF(A2028="","",YEAR(A2028)*100+MONTH(A2028))</f>
        <v/>
      </c>
    </row>
    <row r="2029">
      <c r="A2029" s="18" t="n"/>
      <c r="B2029" s="19" t="n"/>
      <c r="C2029" s="19" t="n"/>
      <c r="D2029" s="19" t="n"/>
      <c r="E2029" s="20" t="n"/>
      <c r="F2029" s="20" t="n"/>
      <c r="G2029" s="19" t="n"/>
      <c r="H2029" s="21">
        <f>IF(A2029="","",YEAR(A2029)*100+MONTH(A2029))</f>
        <v/>
      </c>
    </row>
    <row r="2030">
      <c r="A2030" s="18" t="n"/>
      <c r="B2030" s="19" t="n"/>
      <c r="C2030" s="19" t="n"/>
      <c r="D2030" s="19" t="n"/>
      <c r="E2030" s="20" t="n"/>
      <c r="F2030" s="20" t="n"/>
      <c r="G2030" s="19" t="n"/>
      <c r="H2030" s="21">
        <f>IF(A2030="","",YEAR(A2030)*100+MONTH(A2030))</f>
        <v/>
      </c>
    </row>
    <row r="2031">
      <c r="A2031" s="18" t="n"/>
      <c r="B2031" s="19" t="n"/>
      <c r="C2031" s="19" t="n"/>
      <c r="D2031" s="19" t="n"/>
      <c r="E2031" s="20" t="n"/>
      <c r="F2031" s="20" t="n"/>
      <c r="G2031" s="19" t="n"/>
      <c r="H2031" s="21">
        <f>IF(A2031="","",YEAR(A2031)*100+MONTH(A2031))</f>
        <v/>
      </c>
    </row>
    <row r="2032">
      <c r="A2032" s="18" t="n"/>
      <c r="B2032" s="19" t="n"/>
      <c r="C2032" s="19" t="n"/>
      <c r="D2032" s="19" t="n"/>
      <c r="E2032" s="20" t="n"/>
      <c r="F2032" s="20" t="n"/>
      <c r="G2032" s="19" t="n"/>
      <c r="H2032" s="21">
        <f>IF(A2032="","",YEAR(A2032)*100+MONTH(A2032))</f>
        <v/>
      </c>
    </row>
    <row r="2033">
      <c r="A2033" s="18" t="n"/>
      <c r="B2033" s="19" t="n"/>
      <c r="C2033" s="19" t="n"/>
      <c r="D2033" s="19" t="n"/>
      <c r="E2033" s="20" t="n"/>
      <c r="F2033" s="20" t="n"/>
      <c r="G2033" s="19" t="n"/>
      <c r="H2033" s="21">
        <f>IF(A2033="","",YEAR(A2033)*100+MONTH(A2033))</f>
        <v/>
      </c>
    </row>
    <row r="2034">
      <c r="A2034" s="18" t="n"/>
      <c r="B2034" s="19" t="n"/>
      <c r="C2034" s="19" t="n"/>
      <c r="D2034" s="19" t="n"/>
      <c r="E2034" s="20" t="n"/>
      <c r="F2034" s="20" t="n"/>
      <c r="G2034" s="19" t="n"/>
      <c r="H2034" s="21">
        <f>IF(A2034="","",YEAR(A2034)*100+MONTH(A2034))</f>
        <v/>
      </c>
    </row>
    <row r="2035">
      <c r="A2035" s="18" t="n"/>
      <c r="B2035" s="19" t="n"/>
      <c r="C2035" s="19" t="n"/>
      <c r="D2035" s="19" t="n"/>
      <c r="E2035" s="20" t="n"/>
      <c r="F2035" s="20" t="n"/>
      <c r="G2035" s="19" t="n"/>
      <c r="H2035" s="21">
        <f>IF(A2035="","",YEAR(A2035)*100+MONTH(A2035))</f>
        <v/>
      </c>
    </row>
    <row r="2036">
      <c r="A2036" s="18" t="n"/>
      <c r="B2036" s="19" t="n"/>
      <c r="C2036" s="19" t="n"/>
      <c r="D2036" s="19" t="n"/>
      <c r="E2036" s="20" t="n"/>
      <c r="F2036" s="20" t="n"/>
      <c r="G2036" s="19" t="n"/>
      <c r="H2036" s="21">
        <f>IF(A2036="","",YEAR(A2036)*100+MONTH(A2036))</f>
        <v/>
      </c>
    </row>
    <row r="2037">
      <c r="A2037" s="18" t="n"/>
      <c r="B2037" s="19" t="n"/>
      <c r="C2037" s="19" t="n"/>
      <c r="D2037" s="19" t="n"/>
      <c r="E2037" s="20" t="n"/>
      <c r="F2037" s="20" t="n"/>
      <c r="G2037" s="19" t="n"/>
      <c r="H2037" s="21">
        <f>IF(A2037="","",YEAR(A2037)*100+MONTH(A2037))</f>
        <v/>
      </c>
    </row>
    <row r="2038">
      <c r="A2038" s="18" t="n"/>
      <c r="B2038" s="19" t="n"/>
      <c r="C2038" s="19" t="n"/>
      <c r="D2038" s="19" t="n"/>
      <c r="E2038" s="20" t="n"/>
      <c r="F2038" s="20" t="n"/>
      <c r="G2038" s="19" t="n"/>
      <c r="H2038" s="21">
        <f>IF(A2038="","",YEAR(A2038)*100+MONTH(A2038))</f>
        <v/>
      </c>
    </row>
    <row r="2039">
      <c r="A2039" s="18" t="n"/>
      <c r="B2039" s="19" t="n"/>
      <c r="C2039" s="19" t="n"/>
      <c r="D2039" s="19" t="n"/>
      <c r="E2039" s="20" t="n"/>
      <c r="F2039" s="20" t="n"/>
      <c r="G2039" s="19" t="n"/>
      <c r="H2039" s="21">
        <f>IF(A2039="","",YEAR(A2039)*100+MONTH(A2039))</f>
        <v/>
      </c>
    </row>
    <row r="2040">
      <c r="A2040" s="18" t="n"/>
      <c r="B2040" s="19" t="n"/>
      <c r="C2040" s="19" t="n"/>
      <c r="D2040" s="19" t="n"/>
      <c r="E2040" s="20" t="n"/>
      <c r="F2040" s="20" t="n"/>
      <c r="G2040" s="19" t="n"/>
      <c r="H2040" s="21">
        <f>IF(A2040="","",YEAR(A2040)*100+MONTH(A2040))</f>
        <v/>
      </c>
    </row>
    <row r="2041">
      <c r="A2041" s="18" t="n"/>
      <c r="B2041" s="19" t="n"/>
      <c r="C2041" s="19" t="n"/>
      <c r="D2041" s="19" t="n"/>
      <c r="E2041" s="20" t="n"/>
      <c r="F2041" s="20" t="n"/>
      <c r="G2041" s="19" t="n"/>
      <c r="H2041" s="21">
        <f>IF(A2041="","",YEAR(A2041)*100+MONTH(A2041))</f>
        <v/>
      </c>
    </row>
    <row r="2042">
      <c r="A2042" s="18" t="n"/>
      <c r="B2042" s="19" t="n"/>
      <c r="C2042" s="19" t="n"/>
      <c r="D2042" s="19" t="n"/>
      <c r="E2042" s="20" t="n"/>
      <c r="F2042" s="20" t="n"/>
      <c r="G2042" s="19" t="n"/>
      <c r="H2042" s="21">
        <f>IF(A2042="","",YEAR(A2042)*100+MONTH(A2042))</f>
        <v/>
      </c>
    </row>
    <row r="2043">
      <c r="A2043" s="18" t="n"/>
      <c r="B2043" s="19" t="n"/>
      <c r="C2043" s="19" t="n"/>
      <c r="D2043" s="19" t="n"/>
      <c r="E2043" s="20" t="n"/>
      <c r="F2043" s="20" t="n"/>
      <c r="G2043" s="19" t="n"/>
      <c r="H2043" s="21">
        <f>IF(A2043="","",YEAR(A2043)*100+MONTH(A2043))</f>
        <v/>
      </c>
    </row>
    <row r="2044">
      <c r="A2044" s="18" t="n"/>
      <c r="B2044" s="19" t="n"/>
      <c r="C2044" s="19" t="n"/>
      <c r="D2044" s="19" t="n"/>
      <c r="E2044" s="20" t="n"/>
      <c r="F2044" s="20" t="n"/>
      <c r="G2044" s="19" t="n"/>
      <c r="H2044" s="21">
        <f>IF(A2044="","",YEAR(A2044)*100+MONTH(A2044))</f>
        <v/>
      </c>
    </row>
    <row r="2045">
      <c r="A2045" s="18" t="n"/>
      <c r="B2045" s="19" t="n"/>
      <c r="C2045" s="19" t="n"/>
      <c r="D2045" s="19" t="n"/>
      <c r="E2045" s="20" t="n"/>
      <c r="F2045" s="20" t="n"/>
      <c r="G2045" s="19" t="n"/>
      <c r="H2045" s="21">
        <f>IF(A2045="","",YEAR(A2045)*100+MONTH(A2045))</f>
        <v/>
      </c>
    </row>
    <row r="2046">
      <c r="A2046" s="18" t="n"/>
      <c r="B2046" s="19" t="n"/>
      <c r="C2046" s="19" t="n"/>
      <c r="D2046" s="19" t="n"/>
      <c r="E2046" s="20" t="n"/>
      <c r="F2046" s="20" t="n"/>
      <c r="G2046" s="19" t="n"/>
      <c r="H2046" s="21">
        <f>IF(A2046="","",YEAR(A2046)*100+MONTH(A2046))</f>
        <v/>
      </c>
    </row>
    <row r="2047">
      <c r="A2047" s="18" t="n"/>
      <c r="B2047" s="19" t="n"/>
      <c r="C2047" s="19" t="n"/>
      <c r="D2047" s="19" t="n"/>
      <c r="E2047" s="20" t="n"/>
      <c r="F2047" s="20" t="n"/>
      <c r="G2047" s="19" t="n"/>
      <c r="H2047" s="21">
        <f>IF(A2047="","",YEAR(A2047)*100+MONTH(A2047))</f>
        <v/>
      </c>
    </row>
    <row r="2048">
      <c r="A2048" s="18" t="n"/>
      <c r="B2048" s="19" t="n"/>
      <c r="C2048" s="19" t="n"/>
      <c r="D2048" s="19" t="n"/>
      <c r="E2048" s="20" t="n"/>
      <c r="F2048" s="20" t="n"/>
      <c r="G2048" s="19" t="n"/>
      <c r="H2048" s="21">
        <f>IF(A2048="","",YEAR(A2048)*100+MONTH(A2048))</f>
        <v/>
      </c>
    </row>
    <row r="2049">
      <c r="A2049" s="18" t="n"/>
      <c r="B2049" s="19" t="n"/>
      <c r="C2049" s="19" t="n"/>
      <c r="D2049" s="19" t="n"/>
      <c r="E2049" s="20" t="n"/>
      <c r="F2049" s="20" t="n"/>
      <c r="G2049" s="19" t="n"/>
      <c r="H2049" s="21">
        <f>IF(A2049="","",YEAR(A2049)*100+MONTH(A2049))</f>
        <v/>
      </c>
    </row>
    <row r="2050">
      <c r="A2050" s="18" t="n"/>
      <c r="B2050" s="19" t="n"/>
      <c r="C2050" s="19" t="n"/>
      <c r="D2050" s="19" t="n"/>
      <c r="E2050" s="20" t="n"/>
      <c r="F2050" s="20" t="n"/>
      <c r="G2050" s="19" t="n"/>
      <c r="H2050" s="21">
        <f>IF(A2050="","",YEAR(A2050)*100+MONTH(A2050))</f>
        <v/>
      </c>
    </row>
    <row r="2051">
      <c r="A2051" s="18" t="n"/>
      <c r="B2051" s="19" t="n"/>
      <c r="C2051" s="19" t="n"/>
      <c r="D2051" s="19" t="n"/>
      <c r="E2051" s="20" t="n"/>
      <c r="F2051" s="20" t="n"/>
      <c r="G2051" s="19" t="n"/>
      <c r="H2051" s="21">
        <f>IF(A2051="","",YEAR(A2051)*100+MONTH(A2051))</f>
        <v/>
      </c>
    </row>
    <row r="2052">
      <c r="A2052" s="18" t="n"/>
      <c r="B2052" s="19" t="n"/>
      <c r="C2052" s="19" t="n"/>
      <c r="D2052" s="19" t="n"/>
      <c r="E2052" s="20" t="n"/>
      <c r="F2052" s="20" t="n"/>
      <c r="G2052" s="19" t="n"/>
      <c r="H2052" s="21">
        <f>IF(A2052="","",YEAR(A2052)*100+MONTH(A2052))</f>
        <v/>
      </c>
    </row>
    <row r="2053">
      <c r="A2053" s="18" t="n"/>
      <c r="B2053" s="19" t="n"/>
      <c r="C2053" s="19" t="n"/>
      <c r="D2053" s="19" t="n"/>
      <c r="E2053" s="20" t="n"/>
      <c r="F2053" s="20" t="n"/>
      <c r="G2053" s="19" t="n"/>
      <c r="H2053" s="21">
        <f>IF(A2053="","",YEAR(A2053)*100+MONTH(A2053))</f>
        <v/>
      </c>
    </row>
    <row r="2054">
      <c r="A2054" s="18" t="n"/>
      <c r="B2054" s="19" t="n"/>
      <c r="C2054" s="19" t="n"/>
      <c r="D2054" s="19" t="n"/>
      <c r="E2054" s="20" t="n"/>
      <c r="F2054" s="20" t="n"/>
      <c r="G2054" s="19" t="n"/>
      <c r="H2054" s="21">
        <f>IF(A2054="","",YEAR(A2054)*100+MONTH(A2054))</f>
        <v/>
      </c>
    </row>
    <row r="2055">
      <c r="A2055" s="18" t="n"/>
      <c r="B2055" s="19" t="n"/>
      <c r="C2055" s="19" t="n"/>
      <c r="D2055" s="19" t="n"/>
      <c r="E2055" s="20" t="n"/>
      <c r="F2055" s="20" t="n"/>
      <c r="G2055" s="19" t="n"/>
      <c r="H2055" s="21">
        <f>IF(A2055="","",YEAR(A2055)*100+MONTH(A2055))</f>
        <v/>
      </c>
    </row>
    <row r="2056">
      <c r="A2056" s="18" t="n"/>
      <c r="B2056" s="19" t="n"/>
      <c r="C2056" s="19" t="n"/>
      <c r="D2056" s="19" t="n"/>
      <c r="E2056" s="20" t="n"/>
      <c r="F2056" s="20" t="n"/>
      <c r="G2056" s="19" t="n"/>
      <c r="H2056" s="21">
        <f>IF(A2056="","",YEAR(A2056)*100+MONTH(A2056))</f>
        <v/>
      </c>
    </row>
    <row r="2057">
      <c r="A2057" s="18" t="n"/>
      <c r="B2057" s="19" t="n"/>
      <c r="C2057" s="19" t="n"/>
      <c r="D2057" s="19" t="n"/>
      <c r="E2057" s="20" t="n"/>
      <c r="F2057" s="20" t="n"/>
      <c r="G2057" s="19" t="n"/>
      <c r="H2057" s="21">
        <f>IF(A2057="","",YEAR(A2057)*100+MONTH(A2057))</f>
        <v/>
      </c>
    </row>
    <row r="2058">
      <c r="A2058" s="18" t="n"/>
      <c r="B2058" s="19" t="n"/>
      <c r="C2058" s="19" t="n"/>
      <c r="D2058" s="19" t="n"/>
      <c r="E2058" s="20" t="n"/>
      <c r="F2058" s="20" t="n"/>
      <c r="G2058" s="19" t="n"/>
      <c r="H2058" s="21">
        <f>IF(A2058="","",YEAR(A2058)*100+MONTH(A2058))</f>
        <v/>
      </c>
    </row>
    <row r="2059">
      <c r="A2059" s="18" t="n"/>
      <c r="B2059" s="19" t="n"/>
      <c r="C2059" s="19" t="n"/>
      <c r="D2059" s="19" t="n"/>
      <c r="E2059" s="20" t="n"/>
      <c r="F2059" s="20" t="n"/>
      <c r="G2059" s="19" t="n"/>
      <c r="H2059" s="21">
        <f>IF(A2059="","",YEAR(A2059)*100+MONTH(A2059))</f>
        <v/>
      </c>
    </row>
    <row r="2060">
      <c r="A2060" s="18" t="n"/>
      <c r="B2060" s="19" t="n"/>
      <c r="C2060" s="19" t="n"/>
      <c r="D2060" s="19" t="n"/>
      <c r="E2060" s="20" t="n"/>
      <c r="F2060" s="20" t="n"/>
      <c r="G2060" s="19" t="n"/>
      <c r="H2060" s="21">
        <f>IF(A2060="","",YEAR(A2060)*100+MONTH(A2060))</f>
        <v/>
      </c>
    </row>
    <row r="2061">
      <c r="A2061" s="18" t="n"/>
      <c r="B2061" s="19" t="n"/>
      <c r="C2061" s="19" t="n"/>
      <c r="D2061" s="19" t="n"/>
      <c r="E2061" s="20" t="n"/>
      <c r="F2061" s="20" t="n"/>
      <c r="G2061" s="19" t="n"/>
      <c r="H2061" s="21">
        <f>IF(A2061="","",YEAR(A2061)*100+MONTH(A2061))</f>
        <v/>
      </c>
    </row>
    <row r="2062">
      <c r="A2062" s="18" t="n"/>
      <c r="B2062" s="19" t="n"/>
      <c r="C2062" s="19" t="n"/>
      <c r="D2062" s="19" t="n"/>
      <c r="E2062" s="20" t="n"/>
      <c r="F2062" s="20" t="n"/>
      <c r="G2062" s="19" t="n"/>
      <c r="H2062" s="21">
        <f>IF(A2062="","",YEAR(A2062)*100+MONTH(A2062))</f>
        <v/>
      </c>
    </row>
    <row r="2063">
      <c r="A2063" s="18" t="n"/>
      <c r="B2063" s="19" t="n"/>
      <c r="C2063" s="19" t="n"/>
      <c r="D2063" s="19" t="n"/>
      <c r="E2063" s="20" t="n"/>
      <c r="F2063" s="20" t="n"/>
      <c r="G2063" s="19" t="n"/>
      <c r="H2063" s="21">
        <f>IF(A2063="","",YEAR(A2063)*100+MONTH(A2063))</f>
        <v/>
      </c>
    </row>
    <row r="2064">
      <c r="A2064" s="18" t="n"/>
      <c r="B2064" s="19" t="n"/>
      <c r="C2064" s="19" t="n"/>
      <c r="D2064" s="19" t="n"/>
      <c r="E2064" s="20" t="n"/>
      <c r="F2064" s="20" t="n"/>
      <c r="G2064" s="19" t="n"/>
      <c r="H2064" s="21">
        <f>IF(A2064="","",YEAR(A2064)*100+MONTH(A2064))</f>
        <v/>
      </c>
    </row>
    <row r="2065">
      <c r="A2065" s="18" t="n"/>
      <c r="B2065" s="19" t="n"/>
      <c r="C2065" s="19" t="n"/>
      <c r="D2065" s="19" t="n"/>
      <c r="E2065" s="20" t="n"/>
      <c r="F2065" s="20" t="n"/>
      <c r="G2065" s="19" t="n"/>
      <c r="H2065" s="21">
        <f>IF(A2065="","",YEAR(A2065)*100+MONTH(A2065))</f>
        <v/>
      </c>
    </row>
    <row r="2066">
      <c r="A2066" s="18" t="n"/>
      <c r="B2066" s="19" t="n"/>
      <c r="C2066" s="19" t="n"/>
      <c r="D2066" s="19" t="n"/>
      <c r="E2066" s="20" t="n"/>
      <c r="F2066" s="20" t="n"/>
      <c r="G2066" s="19" t="n"/>
      <c r="H2066" s="21">
        <f>IF(A2066="","",YEAR(A2066)*100+MONTH(A2066))</f>
        <v/>
      </c>
    </row>
    <row r="2067">
      <c r="A2067" s="18" t="n"/>
      <c r="B2067" s="19" t="n"/>
      <c r="C2067" s="19" t="n"/>
      <c r="D2067" s="19" t="n"/>
      <c r="E2067" s="20" t="n"/>
      <c r="F2067" s="20" t="n"/>
      <c r="G2067" s="19" t="n"/>
      <c r="H2067" s="21">
        <f>IF(A2067="","",YEAR(A2067)*100+MONTH(A2067))</f>
        <v/>
      </c>
    </row>
    <row r="2068">
      <c r="A2068" s="18" t="n"/>
      <c r="B2068" s="19" t="n"/>
      <c r="C2068" s="19" t="n"/>
      <c r="D2068" s="19" t="n"/>
      <c r="E2068" s="20" t="n"/>
      <c r="F2068" s="20" t="n"/>
      <c r="G2068" s="19" t="n"/>
      <c r="H2068" s="21">
        <f>IF(A2068="","",YEAR(A2068)*100+MONTH(A2068))</f>
        <v/>
      </c>
    </row>
    <row r="2069">
      <c r="A2069" s="18" t="n"/>
      <c r="B2069" s="19" t="n"/>
      <c r="C2069" s="19" t="n"/>
      <c r="D2069" s="19" t="n"/>
      <c r="E2069" s="20" t="n"/>
      <c r="F2069" s="20" t="n"/>
      <c r="G2069" s="19" t="n"/>
      <c r="H2069" s="21">
        <f>IF(A2069="","",YEAR(A2069)*100+MONTH(A2069))</f>
        <v/>
      </c>
    </row>
    <row r="2070">
      <c r="A2070" s="18" t="n"/>
      <c r="B2070" s="19" t="n"/>
      <c r="C2070" s="19" t="n"/>
      <c r="D2070" s="19" t="n"/>
      <c r="E2070" s="20" t="n"/>
      <c r="F2070" s="20" t="n"/>
      <c r="G2070" s="19" t="n"/>
      <c r="H2070" s="21">
        <f>IF(A2070="","",YEAR(A2070)*100+MONTH(A2070))</f>
        <v/>
      </c>
    </row>
    <row r="2071">
      <c r="A2071" s="18" t="n"/>
      <c r="B2071" s="19" t="n"/>
      <c r="C2071" s="19" t="n"/>
      <c r="D2071" s="19" t="n"/>
      <c r="E2071" s="20" t="n"/>
      <c r="F2071" s="20" t="n"/>
      <c r="G2071" s="19" t="n"/>
      <c r="H2071" s="21">
        <f>IF(A2071="","",YEAR(A2071)*100+MONTH(A2071))</f>
        <v/>
      </c>
    </row>
    <row r="2072">
      <c r="A2072" s="18" t="n"/>
      <c r="B2072" s="19" t="n"/>
      <c r="C2072" s="19" t="n"/>
      <c r="D2072" s="19" t="n"/>
      <c r="E2072" s="20" t="n"/>
      <c r="F2072" s="20" t="n"/>
      <c r="G2072" s="19" t="n"/>
      <c r="H2072" s="21">
        <f>IF(A2072="","",YEAR(A2072)*100+MONTH(A2072))</f>
        <v/>
      </c>
    </row>
    <row r="2073">
      <c r="A2073" s="18" t="n"/>
      <c r="B2073" s="19" t="n"/>
      <c r="C2073" s="19" t="n"/>
      <c r="D2073" s="19" t="n"/>
      <c r="E2073" s="20" t="n"/>
      <c r="F2073" s="20" t="n"/>
      <c r="G2073" s="19" t="n"/>
      <c r="H2073" s="21">
        <f>IF(A2073="","",YEAR(A2073)*100+MONTH(A2073))</f>
        <v/>
      </c>
    </row>
    <row r="2074">
      <c r="A2074" s="18" t="n"/>
      <c r="B2074" s="19" t="n"/>
      <c r="C2074" s="19" t="n"/>
      <c r="D2074" s="19" t="n"/>
      <c r="E2074" s="20" t="n"/>
      <c r="F2074" s="20" t="n"/>
      <c r="G2074" s="19" t="n"/>
      <c r="H2074" s="21">
        <f>IF(A2074="","",YEAR(A2074)*100+MONTH(A2074))</f>
        <v/>
      </c>
    </row>
    <row r="2075">
      <c r="A2075" s="18" t="n"/>
      <c r="B2075" s="19" t="n"/>
      <c r="C2075" s="19" t="n"/>
      <c r="D2075" s="19" t="n"/>
      <c r="E2075" s="20" t="n"/>
      <c r="F2075" s="20" t="n"/>
      <c r="G2075" s="19" t="n"/>
      <c r="H2075" s="21">
        <f>IF(A2075="","",YEAR(A2075)*100+MONTH(A2075))</f>
        <v/>
      </c>
    </row>
    <row r="2076">
      <c r="A2076" s="18" t="n"/>
      <c r="B2076" s="19" t="n"/>
      <c r="C2076" s="19" t="n"/>
      <c r="D2076" s="19" t="n"/>
      <c r="E2076" s="20" t="n"/>
      <c r="F2076" s="20" t="n"/>
      <c r="G2076" s="19" t="n"/>
      <c r="H2076" s="21">
        <f>IF(A2076="","",YEAR(A2076)*100+MONTH(A2076))</f>
        <v/>
      </c>
    </row>
    <row r="2077">
      <c r="A2077" s="18" t="n"/>
      <c r="B2077" s="19" t="n"/>
      <c r="C2077" s="19" t="n"/>
      <c r="D2077" s="19" t="n"/>
      <c r="E2077" s="20" t="n"/>
      <c r="F2077" s="20" t="n"/>
      <c r="G2077" s="19" t="n"/>
      <c r="H2077" s="21">
        <f>IF(A2077="","",YEAR(A2077)*100+MONTH(A2077))</f>
        <v/>
      </c>
    </row>
    <row r="2078">
      <c r="A2078" s="18" t="n"/>
      <c r="B2078" s="19" t="n"/>
      <c r="C2078" s="19" t="n"/>
      <c r="D2078" s="19" t="n"/>
      <c r="E2078" s="20" t="n"/>
      <c r="F2078" s="20" t="n"/>
      <c r="G2078" s="19" t="n"/>
      <c r="H2078" s="21">
        <f>IF(A2078="","",YEAR(A2078)*100+MONTH(A2078))</f>
        <v/>
      </c>
    </row>
    <row r="2079">
      <c r="A2079" s="18" t="n"/>
      <c r="B2079" s="19" t="n"/>
      <c r="C2079" s="19" t="n"/>
      <c r="D2079" s="19" t="n"/>
      <c r="E2079" s="20" t="n"/>
      <c r="F2079" s="20" t="n"/>
      <c r="G2079" s="19" t="n"/>
      <c r="H2079" s="21">
        <f>IF(A2079="","",YEAR(A2079)*100+MONTH(A2079))</f>
        <v/>
      </c>
    </row>
    <row r="2080">
      <c r="A2080" s="18" t="n"/>
      <c r="B2080" s="19" t="n"/>
      <c r="C2080" s="19" t="n"/>
      <c r="D2080" s="19" t="n"/>
      <c r="E2080" s="20" t="n"/>
      <c r="F2080" s="20" t="n"/>
      <c r="G2080" s="19" t="n"/>
      <c r="H2080" s="21">
        <f>IF(A2080="","",YEAR(A2080)*100+MONTH(A2080))</f>
        <v/>
      </c>
    </row>
    <row r="2081">
      <c r="A2081" s="18" t="n"/>
      <c r="B2081" s="19" t="n"/>
      <c r="C2081" s="19" t="n"/>
      <c r="D2081" s="19" t="n"/>
      <c r="E2081" s="20" t="n"/>
      <c r="F2081" s="20" t="n"/>
      <c r="G2081" s="19" t="n"/>
      <c r="H2081" s="21">
        <f>IF(A2081="","",YEAR(A2081)*100+MONTH(A2081))</f>
        <v/>
      </c>
    </row>
    <row r="2082">
      <c r="A2082" s="18" t="n"/>
      <c r="B2082" s="19" t="n"/>
      <c r="C2082" s="19" t="n"/>
      <c r="D2082" s="19" t="n"/>
      <c r="E2082" s="20" t="n"/>
      <c r="F2082" s="20" t="n"/>
      <c r="G2082" s="19" t="n"/>
      <c r="H2082" s="21">
        <f>IF(A2082="","",YEAR(A2082)*100+MONTH(A2082))</f>
        <v/>
      </c>
    </row>
    <row r="2083">
      <c r="A2083" s="18" t="n"/>
      <c r="B2083" s="19" t="n"/>
      <c r="C2083" s="19" t="n"/>
      <c r="D2083" s="19" t="n"/>
      <c r="E2083" s="20" t="n"/>
      <c r="F2083" s="20" t="n"/>
      <c r="G2083" s="19" t="n"/>
      <c r="H2083" s="21">
        <f>IF(A2083="","",YEAR(A2083)*100+MONTH(A2083))</f>
        <v/>
      </c>
    </row>
    <row r="2084">
      <c r="A2084" s="18" t="n"/>
      <c r="B2084" s="19" t="n"/>
      <c r="C2084" s="19" t="n"/>
      <c r="D2084" s="19" t="n"/>
      <c r="E2084" s="20" t="n"/>
      <c r="F2084" s="20" t="n"/>
      <c r="G2084" s="19" t="n"/>
      <c r="H2084" s="21">
        <f>IF(A2084="","",YEAR(A2084)*100+MONTH(A2084))</f>
        <v/>
      </c>
    </row>
    <row r="2085">
      <c r="A2085" s="18" t="n"/>
      <c r="B2085" s="19" t="n"/>
      <c r="C2085" s="19" t="n"/>
      <c r="D2085" s="19" t="n"/>
      <c r="E2085" s="20" t="n"/>
      <c r="F2085" s="20" t="n"/>
      <c r="G2085" s="19" t="n"/>
      <c r="H2085" s="21">
        <f>IF(A2085="","",YEAR(A2085)*100+MONTH(A2085))</f>
        <v/>
      </c>
    </row>
    <row r="2086">
      <c r="A2086" s="18" t="n"/>
      <c r="B2086" s="19" t="n"/>
      <c r="C2086" s="19" t="n"/>
      <c r="D2086" s="19" t="n"/>
      <c r="E2086" s="20" t="n"/>
      <c r="F2086" s="20" t="n"/>
      <c r="G2086" s="19" t="n"/>
      <c r="H2086" s="21">
        <f>IF(A2086="","",YEAR(A2086)*100+MONTH(A2086))</f>
        <v/>
      </c>
    </row>
    <row r="2087">
      <c r="A2087" s="18" t="n"/>
      <c r="B2087" s="19" t="n"/>
      <c r="C2087" s="19" t="n"/>
      <c r="D2087" s="19" t="n"/>
      <c r="E2087" s="20" t="n"/>
      <c r="F2087" s="20" t="n"/>
      <c r="G2087" s="19" t="n"/>
      <c r="H2087" s="21">
        <f>IF(A2087="","",YEAR(A2087)*100+MONTH(A2087))</f>
        <v/>
      </c>
    </row>
    <row r="2088">
      <c r="A2088" s="18" t="n"/>
      <c r="B2088" s="19" t="n"/>
      <c r="C2088" s="19" t="n"/>
      <c r="D2088" s="19" t="n"/>
      <c r="E2088" s="20" t="n"/>
      <c r="F2088" s="20" t="n"/>
      <c r="G2088" s="19" t="n"/>
      <c r="H2088" s="21">
        <f>IF(A2088="","",YEAR(A2088)*100+MONTH(A2088))</f>
        <v/>
      </c>
    </row>
    <row r="2089">
      <c r="A2089" s="18" t="n"/>
      <c r="B2089" s="19" t="n"/>
      <c r="C2089" s="19" t="n"/>
      <c r="D2089" s="19" t="n"/>
      <c r="E2089" s="20" t="n"/>
      <c r="F2089" s="20" t="n"/>
      <c r="G2089" s="19" t="n"/>
      <c r="H2089" s="21">
        <f>IF(A2089="","",YEAR(A2089)*100+MONTH(A2089))</f>
        <v/>
      </c>
    </row>
    <row r="2090">
      <c r="A2090" s="18" t="n"/>
      <c r="B2090" s="19" t="n"/>
      <c r="C2090" s="19" t="n"/>
      <c r="D2090" s="19" t="n"/>
      <c r="E2090" s="20" t="n"/>
      <c r="F2090" s="20" t="n"/>
      <c r="G2090" s="19" t="n"/>
      <c r="H2090" s="21">
        <f>IF(A2090="","",YEAR(A2090)*100+MONTH(A2090))</f>
        <v/>
      </c>
    </row>
    <row r="2091">
      <c r="A2091" s="18" t="n"/>
      <c r="B2091" s="19" t="n"/>
      <c r="C2091" s="19" t="n"/>
      <c r="D2091" s="19" t="n"/>
      <c r="E2091" s="20" t="n"/>
      <c r="F2091" s="20" t="n"/>
      <c r="G2091" s="19" t="n"/>
      <c r="H2091" s="21">
        <f>IF(A2091="","",YEAR(A2091)*100+MONTH(A2091))</f>
        <v/>
      </c>
    </row>
    <row r="2092">
      <c r="A2092" s="18" t="n"/>
      <c r="B2092" s="19" t="n"/>
      <c r="C2092" s="19" t="n"/>
      <c r="D2092" s="19" t="n"/>
      <c r="E2092" s="20" t="n"/>
      <c r="F2092" s="20" t="n"/>
      <c r="G2092" s="19" t="n"/>
      <c r="H2092" s="21">
        <f>IF(A2092="","",YEAR(A2092)*100+MONTH(A2092))</f>
        <v/>
      </c>
    </row>
    <row r="2093">
      <c r="A2093" s="18" t="n"/>
      <c r="B2093" s="19" t="n"/>
      <c r="C2093" s="19" t="n"/>
      <c r="D2093" s="19" t="n"/>
      <c r="E2093" s="20" t="n"/>
      <c r="F2093" s="20" t="n"/>
      <c r="G2093" s="19" t="n"/>
      <c r="H2093" s="21">
        <f>IF(A2093="","",YEAR(A2093)*100+MONTH(A2093))</f>
        <v/>
      </c>
    </row>
    <row r="2094">
      <c r="A2094" s="18" t="n"/>
      <c r="B2094" s="19" t="n"/>
      <c r="C2094" s="19" t="n"/>
      <c r="D2094" s="19" t="n"/>
      <c r="E2094" s="20" t="n"/>
      <c r="F2094" s="20" t="n"/>
      <c r="G2094" s="19" t="n"/>
      <c r="H2094" s="21">
        <f>IF(A2094="","",YEAR(A2094)*100+MONTH(A2094))</f>
        <v/>
      </c>
    </row>
    <row r="2095">
      <c r="A2095" s="18" t="n"/>
      <c r="B2095" s="19" t="n"/>
      <c r="C2095" s="19" t="n"/>
      <c r="D2095" s="19" t="n"/>
      <c r="E2095" s="20" t="n"/>
      <c r="F2095" s="20" t="n"/>
      <c r="G2095" s="19" t="n"/>
      <c r="H2095" s="21">
        <f>IF(A2095="","",YEAR(A2095)*100+MONTH(A2095))</f>
        <v/>
      </c>
    </row>
    <row r="2096">
      <c r="A2096" s="18" t="n"/>
      <c r="B2096" s="19" t="n"/>
      <c r="C2096" s="19" t="n"/>
      <c r="D2096" s="19" t="n"/>
      <c r="E2096" s="20" t="n"/>
      <c r="F2096" s="20" t="n"/>
      <c r="G2096" s="19" t="n"/>
      <c r="H2096" s="21">
        <f>IF(A2096="","",YEAR(A2096)*100+MONTH(A2096))</f>
        <v/>
      </c>
    </row>
    <row r="2097">
      <c r="A2097" s="18" t="n"/>
      <c r="B2097" s="19" t="n"/>
      <c r="C2097" s="19" t="n"/>
      <c r="D2097" s="19" t="n"/>
      <c r="E2097" s="20" t="n"/>
      <c r="F2097" s="20" t="n"/>
      <c r="G2097" s="19" t="n"/>
      <c r="H2097" s="21">
        <f>IF(A2097="","",YEAR(A2097)*100+MONTH(A2097))</f>
        <v/>
      </c>
    </row>
    <row r="2098">
      <c r="A2098" s="18" t="n"/>
      <c r="B2098" s="19" t="n"/>
      <c r="C2098" s="19" t="n"/>
      <c r="D2098" s="19" t="n"/>
      <c r="E2098" s="20" t="n"/>
      <c r="F2098" s="20" t="n"/>
      <c r="G2098" s="19" t="n"/>
      <c r="H2098" s="21">
        <f>IF(A2098="","",YEAR(A2098)*100+MONTH(A2098))</f>
        <v/>
      </c>
    </row>
    <row r="2099">
      <c r="A2099" s="18" t="n"/>
      <c r="B2099" s="19" t="n"/>
      <c r="C2099" s="19" t="n"/>
      <c r="D2099" s="19" t="n"/>
      <c r="E2099" s="20" t="n"/>
      <c r="F2099" s="20" t="n"/>
      <c r="G2099" s="19" t="n"/>
      <c r="H2099" s="21">
        <f>IF(A2099="","",YEAR(A2099)*100+MONTH(A2099))</f>
        <v/>
      </c>
    </row>
    <row r="2100">
      <c r="A2100" s="18" t="n"/>
      <c r="B2100" s="19" t="n"/>
      <c r="C2100" s="19" t="n"/>
      <c r="D2100" s="19" t="n"/>
      <c r="E2100" s="20" t="n"/>
      <c r="F2100" s="20" t="n"/>
      <c r="G2100" s="19" t="n"/>
      <c r="H2100" s="21">
        <f>IF(A2100="","",YEAR(A2100)*100+MONTH(A2100))</f>
        <v/>
      </c>
    </row>
    <row r="2101">
      <c r="A2101" s="18" t="n"/>
      <c r="B2101" s="19" t="n"/>
      <c r="C2101" s="19" t="n"/>
      <c r="D2101" s="19" t="n"/>
      <c r="E2101" s="20" t="n"/>
      <c r="F2101" s="20" t="n"/>
      <c r="G2101" s="19" t="n"/>
      <c r="H2101" s="21">
        <f>IF(A2101="","",YEAR(A2101)*100+MONTH(A2101))</f>
        <v/>
      </c>
    </row>
    <row r="2102">
      <c r="A2102" s="18" t="n"/>
      <c r="B2102" s="19" t="n"/>
      <c r="C2102" s="19" t="n"/>
      <c r="D2102" s="19" t="n"/>
      <c r="E2102" s="20" t="n"/>
      <c r="F2102" s="20" t="n"/>
      <c r="G2102" s="19" t="n"/>
      <c r="H2102" s="21">
        <f>IF(A2102="","",YEAR(A2102)*100+MONTH(A2102))</f>
        <v/>
      </c>
    </row>
    <row r="2103">
      <c r="A2103" s="18" t="n"/>
      <c r="B2103" s="19" t="n"/>
      <c r="C2103" s="19" t="n"/>
      <c r="D2103" s="19" t="n"/>
      <c r="E2103" s="20" t="n"/>
      <c r="F2103" s="20" t="n"/>
      <c r="G2103" s="19" t="n"/>
      <c r="H2103" s="21">
        <f>IF(A2103="","",YEAR(A2103)*100+MONTH(A2103))</f>
        <v/>
      </c>
    </row>
    <row r="2104">
      <c r="A2104" s="18" t="n"/>
      <c r="B2104" s="19" t="n"/>
      <c r="C2104" s="19" t="n"/>
      <c r="D2104" s="19" t="n"/>
      <c r="E2104" s="20" t="n"/>
      <c r="F2104" s="20" t="n"/>
      <c r="G2104" s="19" t="n"/>
      <c r="H2104" s="21">
        <f>IF(A2104="","",YEAR(A2104)*100+MONTH(A2104))</f>
        <v/>
      </c>
    </row>
    <row r="2105">
      <c r="A2105" s="18" t="n"/>
      <c r="B2105" s="19" t="n"/>
      <c r="C2105" s="19" t="n"/>
      <c r="D2105" s="19" t="n"/>
      <c r="E2105" s="20" t="n"/>
      <c r="F2105" s="20" t="n"/>
      <c r="G2105" s="19" t="n"/>
      <c r="H2105" s="21">
        <f>IF(A2105="","",YEAR(A2105)*100+MONTH(A2105))</f>
        <v/>
      </c>
    </row>
    <row r="2106">
      <c r="A2106" s="18" t="n"/>
      <c r="B2106" s="19" t="n"/>
      <c r="C2106" s="19" t="n"/>
      <c r="D2106" s="19" t="n"/>
      <c r="E2106" s="20" t="n"/>
      <c r="F2106" s="20" t="n"/>
      <c r="G2106" s="19" t="n"/>
      <c r="H2106" s="21">
        <f>IF(A2106="","",YEAR(A2106)*100+MONTH(A2106))</f>
        <v/>
      </c>
    </row>
    <row r="2107">
      <c r="A2107" s="18" t="n"/>
      <c r="B2107" s="19" t="n"/>
      <c r="C2107" s="19" t="n"/>
      <c r="D2107" s="19" t="n"/>
      <c r="E2107" s="20" t="n"/>
      <c r="F2107" s="20" t="n"/>
      <c r="G2107" s="19" t="n"/>
      <c r="H2107" s="21">
        <f>IF(A2107="","",YEAR(A2107)*100+MONTH(A2107))</f>
        <v/>
      </c>
    </row>
    <row r="2108">
      <c r="A2108" s="18" t="n"/>
      <c r="B2108" s="19" t="n"/>
      <c r="C2108" s="19" t="n"/>
      <c r="D2108" s="19" t="n"/>
      <c r="E2108" s="20" t="n"/>
      <c r="F2108" s="20" t="n"/>
      <c r="G2108" s="19" t="n"/>
      <c r="H2108" s="21">
        <f>IF(A2108="","",YEAR(A2108)*100+MONTH(A2108))</f>
        <v/>
      </c>
    </row>
    <row r="2109">
      <c r="A2109" s="18" t="n"/>
      <c r="B2109" s="19" t="n"/>
      <c r="C2109" s="19" t="n"/>
      <c r="D2109" s="19" t="n"/>
      <c r="E2109" s="20" t="n"/>
      <c r="F2109" s="20" t="n"/>
      <c r="G2109" s="19" t="n"/>
      <c r="H2109" s="21">
        <f>IF(A2109="","",YEAR(A2109)*100+MONTH(A2109))</f>
        <v/>
      </c>
    </row>
    <row r="2110">
      <c r="A2110" s="18" t="n"/>
      <c r="B2110" s="19" t="n"/>
      <c r="C2110" s="19" t="n"/>
      <c r="D2110" s="19" t="n"/>
      <c r="E2110" s="20" t="n"/>
      <c r="F2110" s="20" t="n"/>
      <c r="G2110" s="19" t="n"/>
      <c r="H2110" s="21">
        <f>IF(A2110="","",YEAR(A2110)*100+MONTH(A2110))</f>
        <v/>
      </c>
    </row>
    <row r="2111">
      <c r="A2111" s="18" t="n"/>
      <c r="B2111" s="19" t="n"/>
      <c r="C2111" s="19" t="n"/>
      <c r="D2111" s="19" t="n"/>
      <c r="E2111" s="20" t="n"/>
      <c r="F2111" s="20" t="n"/>
      <c r="G2111" s="19" t="n"/>
      <c r="H2111" s="21">
        <f>IF(A2111="","",YEAR(A2111)*100+MONTH(A2111))</f>
        <v/>
      </c>
    </row>
    <row r="2112">
      <c r="A2112" s="18" t="n"/>
      <c r="B2112" s="19" t="n"/>
      <c r="C2112" s="19" t="n"/>
      <c r="D2112" s="19" t="n"/>
      <c r="E2112" s="20" t="n"/>
      <c r="F2112" s="20" t="n"/>
      <c r="G2112" s="19" t="n"/>
      <c r="H2112" s="21">
        <f>IF(A2112="","",YEAR(A2112)*100+MONTH(A2112))</f>
        <v/>
      </c>
    </row>
    <row r="2113">
      <c r="A2113" s="18" t="n"/>
      <c r="B2113" s="19" t="n"/>
      <c r="C2113" s="19" t="n"/>
      <c r="D2113" s="19" t="n"/>
      <c r="E2113" s="20" t="n"/>
      <c r="F2113" s="20" t="n"/>
      <c r="G2113" s="19" t="n"/>
      <c r="H2113" s="21">
        <f>IF(A2113="","",YEAR(A2113)*100+MONTH(A2113))</f>
        <v/>
      </c>
    </row>
    <row r="2114">
      <c r="A2114" s="18" t="n"/>
      <c r="B2114" s="19" t="n"/>
      <c r="C2114" s="19" t="n"/>
      <c r="D2114" s="19" t="n"/>
      <c r="E2114" s="20" t="n"/>
      <c r="F2114" s="20" t="n"/>
      <c r="G2114" s="19" t="n"/>
      <c r="H2114" s="21">
        <f>IF(A2114="","",YEAR(A2114)*100+MONTH(A2114))</f>
        <v/>
      </c>
    </row>
    <row r="2115">
      <c r="A2115" s="18" t="n"/>
      <c r="B2115" s="19" t="n"/>
      <c r="C2115" s="19" t="n"/>
      <c r="D2115" s="19" t="n"/>
      <c r="E2115" s="20" t="n"/>
      <c r="F2115" s="20" t="n"/>
      <c r="G2115" s="19" t="n"/>
      <c r="H2115" s="21">
        <f>IF(A2115="","",YEAR(A2115)*100+MONTH(A2115))</f>
        <v/>
      </c>
    </row>
    <row r="2116">
      <c r="A2116" s="18" t="n"/>
      <c r="B2116" s="19" t="n"/>
      <c r="C2116" s="19" t="n"/>
      <c r="D2116" s="19" t="n"/>
      <c r="E2116" s="20" t="n"/>
      <c r="F2116" s="20" t="n"/>
      <c r="G2116" s="19" t="n"/>
      <c r="H2116" s="21">
        <f>IF(A2116="","",YEAR(A2116)*100+MONTH(A2116))</f>
        <v/>
      </c>
    </row>
    <row r="2117">
      <c r="A2117" s="18" t="n"/>
      <c r="B2117" s="19" t="n"/>
      <c r="C2117" s="19" t="n"/>
      <c r="D2117" s="19" t="n"/>
      <c r="E2117" s="20" t="n"/>
      <c r="F2117" s="20" t="n"/>
      <c r="G2117" s="19" t="n"/>
      <c r="H2117" s="21">
        <f>IF(A2117="","",YEAR(A2117)*100+MONTH(A2117))</f>
        <v/>
      </c>
    </row>
    <row r="2118">
      <c r="A2118" s="18" t="n"/>
      <c r="B2118" s="19" t="n"/>
      <c r="C2118" s="19" t="n"/>
      <c r="D2118" s="19" t="n"/>
      <c r="E2118" s="20" t="n"/>
      <c r="F2118" s="20" t="n"/>
      <c r="G2118" s="19" t="n"/>
      <c r="H2118" s="21">
        <f>IF(A2118="","",YEAR(A2118)*100+MONTH(A2118))</f>
        <v/>
      </c>
    </row>
    <row r="2119">
      <c r="A2119" s="18" t="n"/>
      <c r="B2119" s="19" t="n"/>
      <c r="C2119" s="19" t="n"/>
      <c r="D2119" s="19" t="n"/>
      <c r="E2119" s="20" t="n"/>
      <c r="F2119" s="20" t="n"/>
      <c r="G2119" s="19" t="n"/>
      <c r="H2119" s="21">
        <f>IF(A2119="","",YEAR(A2119)*100+MONTH(A2119))</f>
        <v/>
      </c>
    </row>
    <row r="2120">
      <c r="A2120" s="18" t="n"/>
      <c r="B2120" s="19" t="n"/>
      <c r="C2120" s="19" t="n"/>
      <c r="D2120" s="19" t="n"/>
      <c r="E2120" s="20" t="n"/>
      <c r="F2120" s="20" t="n"/>
      <c r="G2120" s="19" t="n"/>
      <c r="H2120" s="21">
        <f>IF(A2120="","",YEAR(A2120)*100+MONTH(A2120))</f>
        <v/>
      </c>
    </row>
    <row r="2121">
      <c r="A2121" s="18" t="n"/>
      <c r="B2121" s="19" t="n"/>
      <c r="C2121" s="19" t="n"/>
      <c r="D2121" s="19" t="n"/>
      <c r="E2121" s="20" t="n"/>
      <c r="F2121" s="20" t="n"/>
      <c r="G2121" s="19" t="n"/>
      <c r="H2121" s="21">
        <f>IF(A2121="","",YEAR(A2121)*100+MONTH(A2121))</f>
        <v/>
      </c>
    </row>
    <row r="2122">
      <c r="A2122" s="18" t="n"/>
      <c r="B2122" s="19" t="n"/>
      <c r="C2122" s="19" t="n"/>
      <c r="D2122" s="19" t="n"/>
      <c r="E2122" s="20" t="n"/>
      <c r="F2122" s="20" t="n"/>
      <c r="G2122" s="19" t="n"/>
      <c r="H2122" s="21">
        <f>IF(A2122="","",YEAR(A2122)*100+MONTH(A2122))</f>
        <v/>
      </c>
    </row>
    <row r="2123">
      <c r="A2123" s="18" t="n"/>
      <c r="B2123" s="19" t="n"/>
      <c r="C2123" s="19" t="n"/>
      <c r="D2123" s="19" t="n"/>
      <c r="E2123" s="20" t="n"/>
      <c r="F2123" s="20" t="n"/>
      <c r="G2123" s="19" t="n"/>
      <c r="H2123" s="21">
        <f>IF(A2123="","",YEAR(A2123)*100+MONTH(A2123))</f>
        <v/>
      </c>
    </row>
    <row r="2124">
      <c r="A2124" s="18" t="n"/>
      <c r="B2124" s="19" t="n"/>
      <c r="C2124" s="19" t="n"/>
      <c r="D2124" s="19" t="n"/>
      <c r="E2124" s="20" t="n"/>
      <c r="F2124" s="20" t="n"/>
      <c r="G2124" s="19" t="n"/>
      <c r="H2124" s="21">
        <f>IF(A2124="","",YEAR(A2124)*100+MONTH(A2124))</f>
        <v/>
      </c>
    </row>
    <row r="2125">
      <c r="A2125" s="18" t="n"/>
      <c r="B2125" s="19" t="n"/>
      <c r="C2125" s="19" t="n"/>
      <c r="D2125" s="19" t="n"/>
      <c r="E2125" s="20" t="n"/>
      <c r="F2125" s="20" t="n"/>
      <c r="G2125" s="19" t="n"/>
      <c r="H2125" s="21">
        <f>IF(A2125="","",YEAR(A2125)*100+MONTH(A2125))</f>
        <v/>
      </c>
    </row>
    <row r="2126">
      <c r="A2126" s="18" t="n"/>
      <c r="B2126" s="19" t="n"/>
      <c r="C2126" s="19" t="n"/>
      <c r="D2126" s="19" t="n"/>
      <c r="E2126" s="20" t="n"/>
      <c r="F2126" s="20" t="n"/>
      <c r="G2126" s="19" t="n"/>
      <c r="H2126" s="21">
        <f>IF(A2126="","",YEAR(A2126)*100+MONTH(A2126))</f>
        <v/>
      </c>
    </row>
    <row r="2127">
      <c r="A2127" s="18" t="n"/>
      <c r="B2127" s="19" t="n"/>
      <c r="C2127" s="19" t="n"/>
      <c r="D2127" s="19" t="n"/>
      <c r="E2127" s="20" t="n"/>
      <c r="F2127" s="20" t="n"/>
      <c r="G2127" s="19" t="n"/>
      <c r="H2127" s="21">
        <f>IF(A2127="","",YEAR(A2127)*100+MONTH(A2127))</f>
        <v/>
      </c>
    </row>
    <row r="2128">
      <c r="A2128" s="18" t="n"/>
      <c r="B2128" s="19" t="n"/>
      <c r="C2128" s="19" t="n"/>
      <c r="D2128" s="19" t="n"/>
      <c r="E2128" s="20" t="n"/>
      <c r="F2128" s="20" t="n"/>
      <c r="G2128" s="19" t="n"/>
      <c r="H2128" s="21">
        <f>IF(A2128="","",YEAR(A2128)*100+MONTH(A2128))</f>
        <v/>
      </c>
    </row>
    <row r="2129">
      <c r="A2129" s="18" t="n"/>
      <c r="B2129" s="19" t="n"/>
      <c r="C2129" s="19" t="n"/>
      <c r="D2129" s="19" t="n"/>
      <c r="E2129" s="20" t="n"/>
      <c r="F2129" s="20" t="n"/>
      <c r="G2129" s="19" t="n"/>
      <c r="H2129" s="21">
        <f>IF(A2129="","",YEAR(A2129)*100+MONTH(A2129))</f>
        <v/>
      </c>
    </row>
    <row r="2130">
      <c r="A2130" s="18" t="n"/>
      <c r="B2130" s="19" t="n"/>
      <c r="C2130" s="19" t="n"/>
      <c r="D2130" s="19" t="n"/>
      <c r="E2130" s="20" t="n"/>
      <c r="F2130" s="20" t="n"/>
      <c r="G2130" s="19" t="n"/>
      <c r="H2130" s="21">
        <f>IF(A2130="","",YEAR(A2130)*100+MONTH(A2130))</f>
        <v/>
      </c>
    </row>
    <row r="2131">
      <c r="A2131" s="18" t="n"/>
      <c r="B2131" s="19" t="n"/>
      <c r="C2131" s="19" t="n"/>
      <c r="D2131" s="19" t="n"/>
      <c r="E2131" s="20" t="n"/>
      <c r="F2131" s="20" t="n"/>
      <c r="G2131" s="19" t="n"/>
      <c r="H2131" s="21">
        <f>IF(A2131="","",YEAR(A2131)*100+MONTH(A2131))</f>
        <v/>
      </c>
    </row>
    <row r="2132">
      <c r="A2132" s="18" t="n"/>
      <c r="B2132" s="19" t="n"/>
      <c r="C2132" s="19" t="n"/>
      <c r="D2132" s="19" t="n"/>
      <c r="E2132" s="20" t="n"/>
      <c r="F2132" s="20" t="n"/>
      <c r="G2132" s="19" t="n"/>
      <c r="H2132" s="21">
        <f>IF(A2132="","",YEAR(A2132)*100+MONTH(A2132))</f>
        <v/>
      </c>
    </row>
    <row r="2133">
      <c r="A2133" s="18" t="n"/>
      <c r="B2133" s="19" t="n"/>
      <c r="C2133" s="19" t="n"/>
      <c r="D2133" s="19" t="n"/>
      <c r="E2133" s="20" t="n"/>
      <c r="F2133" s="20" t="n"/>
      <c r="G2133" s="19" t="n"/>
      <c r="H2133" s="21">
        <f>IF(A2133="","",YEAR(A2133)*100+MONTH(A2133))</f>
        <v/>
      </c>
    </row>
    <row r="2134">
      <c r="A2134" s="18" t="n"/>
      <c r="B2134" s="19" t="n"/>
      <c r="C2134" s="19" t="n"/>
      <c r="D2134" s="19" t="n"/>
      <c r="E2134" s="20" t="n"/>
      <c r="F2134" s="20" t="n"/>
      <c r="G2134" s="19" t="n"/>
      <c r="H2134" s="21">
        <f>IF(A2134="","",YEAR(A2134)*100+MONTH(A2134))</f>
        <v/>
      </c>
    </row>
    <row r="2135">
      <c r="A2135" s="18" t="n"/>
      <c r="B2135" s="19" t="n"/>
      <c r="C2135" s="19" t="n"/>
      <c r="D2135" s="19" t="n"/>
      <c r="E2135" s="20" t="n"/>
      <c r="F2135" s="20" t="n"/>
      <c r="G2135" s="19" t="n"/>
      <c r="H2135" s="21">
        <f>IF(A2135="","",YEAR(A2135)*100+MONTH(A2135))</f>
        <v/>
      </c>
    </row>
    <row r="2136">
      <c r="A2136" s="18" t="n"/>
      <c r="B2136" s="19" t="n"/>
      <c r="C2136" s="19" t="n"/>
      <c r="D2136" s="19" t="n"/>
      <c r="E2136" s="20" t="n"/>
      <c r="F2136" s="20" t="n"/>
      <c r="G2136" s="19" t="n"/>
      <c r="H2136" s="21">
        <f>IF(A2136="","",YEAR(A2136)*100+MONTH(A2136))</f>
        <v/>
      </c>
    </row>
    <row r="2137">
      <c r="A2137" s="18" t="n"/>
      <c r="B2137" s="19" t="n"/>
      <c r="C2137" s="19" t="n"/>
      <c r="D2137" s="19" t="n"/>
      <c r="E2137" s="20" t="n"/>
      <c r="F2137" s="20" t="n"/>
      <c r="G2137" s="19" t="n"/>
      <c r="H2137" s="21">
        <f>IF(A2137="","",YEAR(A2137)*100+MONTH(A2137))</f>
        <v/>
      </c>
    </row>
    <row r="2138">
      <c r="A2138" s="18" t="n"/>
      <c r="B2138" s="19" t="n"/>
      <c r="C2138" s="19" t="n"/>
      <c r="D2138" s="19" t="n"/>
      <c r="E2138" s="20" t="n"/>
      <c r="F2138" s="20" t="n"/>
      <c r="G2138" s="19" t="n"/>
      <c r="H2138" s="21">
        <f>IF(A2138="","",YEAR(A2138)*100+MONTH(A2138))</f>
        <v/>
      </c>
    </row>
    <row r="2139">
      <c r="A2139" s="18" t="n"/>
      <c r="B2139" s="19" t="n"/>
      <c r="C2139" s="19" t="n"/>
      <c r="D2139" s="19" t="n"/>
      <c r="E2139" s="20" t="n"/>
      <c r="F2139" s="20" t="n"/>
      <c r="G2139" s="19" t="n"/>
      <c r="H2139" s="21">
        <f>IF(A2139="","",YEAR(A2139)*100+MONTH(A2139))</f>
        <v/>
      </c>
    </row>
    <row r="2140">
      <c r="A2140" s="18" t="n"/>
      <c r="B2140" s="19" t="n"/>
      <c r="C2140" s="19" t="n"/>
      <c r="D2140" s="19" t="n"/>
      <c r="E2140" s="20" t="n"/>
      <c r="F2140" s="20" t="n"/>
      <c r="G2140" s="19" t="n"/>
      <c r="H2140" s="21">
        <f>IF(A2140="","",YEAR(A2140)*100+MONTH(A2140))</f>
        <v/>
      </c>
    </row>
    <row r="2141">
      <c r="A2141" s="18" t="n"/>
      <c r="B2141" s="19" t="n"/>
      <c r="C2141" s="19" t="n"/>
      <c r="D2141" s="19" t="n"/>
      <c r="E2141" s="20" t="n"/>
      <c r="F2141" s="20" t="n"/>
      <c r="G2141" s="19" t="n"/>
      <c r="H2141" s="21">
        <f>IF(A2141="","",YEAR(A2141)*100+MONTH(A2141))</f>
        <v/>
      </c>
    </row>
    <row r="2142">
      <c r="A2142" s="18" t="n"/>
      <c r="B2142" s="19" t="n"/>
      <c r="C2142" s="19" t="n"/>
      <c r="D2142" s="19" t="n"/>
      <c r="E2142" s="20" t="n"/>
      <c r="F2142" s="20" t="n"/>
      <c r="G2142" s="19" t="n"/>
      <c r="H2142" s="21">
        <f>IF(A2142="","",YEAR(A2142)*100+MONTH(A2142))</f>
        <v/>
      </c>
    </row>
    <row r="2143">
      <c r="A2143" s="18" t="n"/>
      <c r="B2143" s="19" t="n"/>
      <c r="C2143" s="19" t="n"/>
      <c r="D2143" s="19" t="n"/>
      <c r="E2143" s="20" t="n"/>
      <c r="F2143" s="20" t="n"/>
      <c r="G2143" s="19" t="n"/>
      <c r="H2143" s="21">
        <f>IF(A2143="","",YEAR(A2143)*100+MONTH(A2143))</f>
        <v/>
      </c>
    </row>
    <row r="2144">
      <c r="A2144" s="18" t="n"/>
      <c r="B2144" s="19" t="n"/>
      <c r="C2144" s="19" t="n"/>
      <c r="D2144" s="19" t="n"/>
      <c r="E2144" s="20" t="n"/>
      <c r="F2144" s="20" t="n"/>
      <c r="G2144" s="19" t="n"/>
      <c r="H2144" s="21">
        <f>IF(A2144="","",YEAR(A2144)*100+MONTH(A2144))</f>
        <v/>
      </c>
    </row>
    <row r="2145">
      <c r="A2145" s="18" t="n"/>
      <c r="B2145" s="19" t="n"/>
      <c r="C2145" s="19" t="n"/>
      <c r="D2145" s="19" t="n"/>
      <c r="E2145" s="20" t="n"/>
      <c r="F2145" s="20" t="n"/>
      <c r="G2145" s="19" t="n"/>
      <c r="H2145" s="21">
        <f>IF(A2145="","",YEAR(A2145)*100+MONTH(A2145))</f>
        <v/>
      </c>
    </row>
    <row r="2146">
      <c r="A2146" s="18" t="n"/>
      <c r="B2146" s="19" t="n"/>
      <c r="C2146" s="19" t="n"/>
      <c r="D2146" s="19" t="n"/>
      <c r="E2146" s="20" t="n"/>
      <c r="F2146" s="20" t="n"/>
      <c r="G2146" s="19" t="n"/>
      <c r="H2146" s="21">
        <f>IF(A2146="","",YEAR(A2146)*100+MONTH(A2146))</f>
        <v/>
      </c>
    </row>
    <row r="2147">
      <c r="A2147" s="18" t="n"/>
      <c r="B2147" s="19" t="n"/>
      <c r="C2147" s="19" t="n"/>
      <c r="D2147" s="19" t="n"/>
      <c r="E2147" s="20" t="n"/>
      <c r="F2147" s="20" t="n"/>
      <c r="G2147" s="19" t="n"/>
      <c r="H2147" s="21">
        <f>IF(A2147="","",YEAR(A2147)*100+MONTH(A2147))</f>
        <v/>
      </c>
    </row>
    <row r="2148">
      <c r="A2148" s="18" t="n"/>
      <c r="B2148" s="19" t="n"/>
      <c r="C2148" s="19" t="n"/>
      <c r="D2148" s="19" t="n"/>
      <c r="E2148" s="20" t="n"/>
      <c r="F2148" s="20" t="n"/>
      <c r="G2148" s="19" t="n"/>
      <c r="H2148" s="21">
        <f>IF(A2148="","",YEAR(A2148)*100+MONTH(A2148))</f>
        <v/>
      </c>
    </row>
    <row r="2149">
      <c r="A2149" s="18" t="n"/>
      <c r="B2149" s="19" t="n"/>
      <c r="C2149" s="19" t="n"/>
      <c r="D2149" s="19" t="n"/>
      <c r="E2149" s="20" t="n"/>
      <c r="F2149" s="20" t="n"/>
      <c r="G2149" s="19" t="n"/>
      <c r="H2149" s="21">
        <f>IF(A2149="","",YEAR(A2149)*100+MONTH(A2149))</f>
        <v/>
      </c>
    </row>
    <row r="2150">
      <c r="A2150" s="18" t="n"/>
      <c r="B2150" s="19" t="n"/>
      <c r="C2150" s="19" t="n"/>
      <c r="D2150" s="19" t="n"/>
      <c r="E2150" s="20" t="n"/>
      <c r="F2150" s="20" t="n"/>
      <c r="G2150" s="19" t="n"/>
      <c r="H2150" s="21">
        <f>IF(A2150="","",YEAR(A2150)*100+MONTH(A2150))</f>
        <v/>
      </c>
    </row>
    <row r="2151">
      <c r="A2151" s="18" t="n"/>
      <c r="B2151" s="19" t="n"/>
      <c r="C2151" s="19" t="n"/>
      <c r="D2151" s="19" t="n"/>
      <c r="E2151" s="20" t="n"/>
      <c r="F2151" s="20" t="n"/>
      <c r="G2151" s="19" t="n"/>
      <c r="H2151" s="21">
        <f>IF(A2151="","",YEAR(A2151)*100+MONTH(A2151))</f>
        <v/>
      </c>
    </row>
    <row r="2152">
      <c r="A2152" s="18" t="n"/>
      <c r="B2152" s="19" t="n"/>
      <c r="C2152" s="19" t="n"/>
      <c r="D2152" s="19" t="n"/>
      <c r="E2152" s="20" t="n"/>
      <c r="F2152" s="20" t="n"/>
      <c r="G2152" s="19" t="n"/>
      <c r="H2152" s="21">
        <f>IF(A2152="","",YEAR(A2152)*100+MONTH(A2152))</f>
        <v/>
      </c>
    </row>
    <row r="2153">
      <c r="A2153" s="18" t="n"/>
      <c r="B2153" s="19" t="n"/>
      <c r="C2153" s="19" t="n"/>
      <c r="D2153" s="19" t="n"/>
      <c r="E2153" s="20" t="n"/>
      <c r="F2153" s="20" t="n"/>
      <c r="G2153" s="19" t="n"/>
      <c r="H2153" s="21">
        <f>IF(A2153="","",YEAR(A2153)*100+MONTH(A2153))</f>
        <v/>
      </c>
    </row>
    <row r="2154">
      <c r="A2154" s="18" t="n"/>
      <c r="B2154" s="19" t="n"/>
      <c r="C2154" s="19" t="n"/>
      <c r="D2154" s="19" t="n"/>
      <c r="E2154" s="20" t="n"/>
      <c r="F2154" s="20" t="n"/>
      <c r="G2154" s="19" t="n"/>
      <c r="H2154" s="21">
        <f>IF(A2154="","",YEAR(A2154)*100+MONTH(A2154))</f>
        <v/>
      </c>
    </row>
    <row r="2155">
      <c r="A2155" s="18" t="n"/>
      <c r="B2155" s="19" t="n"/>
      <c r="C2155" s="19" t="n"/>
      <c r="D2155" s="19" t="n"/>
      <c r="E2155" s="20" t="n"/>
      <c r="F2155" s="20" t="n"/>
      <c r="G2155" s="19" t="n"/>
      <c r="H2155" s="21">
        <f>IF(A2155="","",YEAR(A2155)*100+MONTH(A2155))</f>
        <v/>
      </c>
    </row>
    <row r="2156">
      <c r="A2156" s="18" t="n"/>
      <c r="B2156" s="19" t="n"/>
      <c r="C2156" s="19" t="n"/>
      <c r="D2156" s="19" t="n"/>
      <c r="E2156" s="20" t="n"/>
      <c r="F2156" s="20" t="n"/>
      <c r="G2156" s="19" t="n"/>
      <c r="H2156" s="21">
        <f>IF(A2156="","",YEAR(A2156)*100+MONTH(A2156))</f>
        <v/>
      </c>
    </row>
    <row r="2157">
      <c r="A2157" s="18" t="n"/>
      <c r="B2157" s="19" t="n"/>
      <c r="C2157" s="19" t="n"/>
      <c r="D2157" s="19" t="n"/>
      <c r="E2157" s="20" t="n"/>
      <c r="F2157" s="20" t="n"/>
      <c r="G2157" s="19" t="n"/>
      <c r="H2157" s="21">
        <f>IF(A2157="","",YEAR(A2157)*100+MONTH(A2157))</f>
        <v/>
      </c>
    </row>
    <row r="2158">
      <c r="A2158" s="18" t="n"/>
      <c r="B2158" s="19" t="n"/>
      <c r="C2158" s="19" t="n"/>
      <c r="D2158" s="19" t="n"/>
      <c r="E2158" s="20" t="n"/>
      <c r="F2158" s="20" t="n"/>
      <c r="G2158" s="19" t="n"/>
      <c r="H2158" s="21">
        <f>IF(A2158="","",YEAR(A2158)*100+MONTH(A2158))</f>
        <v/>
      </c>
    </row>
    <row r="2159">
      <c r="A2159" s="18" t="n"/>
      <c r="B2159" s="19" t="n"/>
      <c r="C2159" s="19" t="n"/>
      <c r="D2159" s="19" t="n"/>
      <c r="E2159" s="20" t="n"/>
      <c r="F2159" s="20" t="n"/>
      <c r="G2159" s="19" t="n"/>
      <c r="H2159" s="21">
        <f>IF(A2159="","",YEAR(A2159)*100+MONTH(A2159))</f>
        <v/>
      </c>
    </row>
    <row r="2160">
      <c r="A2160" s="18" t="n"/>
      <c r="B2160" s="19" t="n"/>
      <c r="C2160" s="19" t="n"/>
      <c r="D2160" s="19" t="n"/>
      <c r="E2160" s="20" t="n"/>
      <c r="F2160" s="20" t="n"/>
      <c r="G2160" s="19" t="n"/>
      <c r="H2160" s="21">
        <f>IF(A2160="","",YEAR(A2160)*100+MONTH(A2160))</f>
        <v/>
      </c>
    </row>
    <row r="2161">
      <c r="A2161" s="18" t="n"/>
      <c r="B2161" s="19" t="n"/>
      <c r="C2161" s="19" t="n"/>
      <c r="D2161" s="19" t="n"/>
      <c r="E2161" s="20" t="n"/>
      <c r="F2161" s="20" t="n"/>
      <c r="G2161" s="19" t="n"/>
      <c r="H2161" s="21">
        <f>IF(A2161="","",YEAR(A2161)*100+MONTH(A2161))</f>
        <v/>
      </c>
    </row>
    <row r="2162">
      <c r="A2162" s="18" t="n"/>
      <c r="B2162" s="19" t="n"/>
      <c r="C2162" s="19" t="n"/>
      <c r="D2162" s="19" t="n"/>
      <c r="E2162" s="20" t="n"/>
      <c r="F2162" s="20" t="n"/>
      <c r="G2162" s="19" t="n"/>
      <c r="H2162" s="21">
        <f>IF(A2162="","",YEAR(A2162)*100+MONTH(A2162))</f>
        <v/>
      </c>
    </row>
    <row r="2163">
      <c r="A2163" s="18" t="n"/>
      <c r="B2163" s="19" t="n"/>
      <c r="C2163" s="19" t="n"/>
      <c r="D2163" s="19" t="n"/>
      <c r="E2163" s="20" t="n"/>
      <c r="F2163" s="20" t="n"/>
      <c r="G2163" s="19" t="n"/>
      <c r="H2163" s="21">
        <f>IF(A2163="","",YEAR(A2163)*100+MONTH(A2163))</f>
        <v/>
      </c>
    </row>
    <row r="2164">
      <c r="A2164" s="18" t="n"/>
      <c r="B2164" s="19" t="n"/>
      <c r="C2164" s="19" t="n"/>
      <c r="D2164" s="19" t="n"/>
      <c r="E2164" s="20" t="n"/>
      <c r="F2164" s="20" t="n"/>
      <c r="G2164" s="19" t="n"/>
      <c r="H2164" s="21">
        <f>IF(A2164="","",YEAR(A2164)*100+MONTH(A2164))</f>
        <v/>
      </c>
    </row>
    <row r="2165">
      <c r="A2165" s="18" t="n"/>
      <c r="B2165" s="19" t="n"/>
      <c r="C2165" s="19" t="n"/>
      <c r="D2165" s="19" t="n"/>
      <c r="E2165" s="20" t="n"/>
      <c r="F2165" s="20" t="n"/>
      <c r="G2165" s="19" t="n"/>
      <c r="H2165" s="21">
        <f>IF(A2165="","",YEAR(A2165)*100+MONTH(A2165))</f>
        <v/>
      </c>
    </row>
    <row r="2166">
      <c r="A2166" s="18" t="n"/>
      <c r="B2166" s="19" t="n"/>
      <c r="C2166" s="19" t="n"/>
      <c r="D2166" s="19" t="n"/>
      <c r="E2166" s="20" t="n"/>
      <c r="F2166" s="20" t="n"/>
      <c r="G2166" s="19" t="n"/>
      <c r="H2166" s="21">
        <f>IF(A2166="","",YEAR(A2166)*100+MONTH(A2166))</f>
        <v/>
      </c>
    </row>
    <row r="2167">
      <c r="A2167" s="18" t="n"/>
      <c r="B2167" s="19" t="n"/>
      <c r="C2167" s="19" t="n"/>
      <c r="D2167" s="19" t="n"/>
      <c r="E2167" s="20" t="n"/>
      <c r="F2167" s="20" t="n"/>
      <c r="G2167" s="19" t="n"/>
      <c r="H2167" s="21">
        <f>IF(A2167="","",YEAR(A2167)*100+MONTH(A2167))</f>
        <v/>
      </c>
    </row>
    <row r="2168">
      <c r="A2168" s="18" t="n"/>
      <c r="B2168" s="19" t="n"/>
      <c r="C2168" s="19" t="n"/>
      <c r="D2168" s="19" t="n"/>
      <c r="E2168" s="20" t="n"/>
      <c r="F2168" s="20" t="n"/>
      <c r="G2168" s="19" t="n"/>
      <c r="H2168" s="21">
        <f>IF(A2168="","",YEAR(A2168)*100+MONTH(A2168))</f>
        <v/>
      </c>
    </row>
    <row r="2169">
      <c r="A2169" s="18" t="n"/>
      <c r="B2169" s="19" t="n"/>
      <c r="C2169" s="19" t="n"/>
      <c r="D2169" s="19" t="n"/>
      <c r="E2169" s="20" t="n"/>
      <c r="F2169" s="20" t="n"/>
      <c r="G2169" s="19" t="n"/>
      <c r="H2169" s="21">
        <f>IF(A2169="","",YEAR(A2169)*100+MONTH(A2169))</f>
        <v/>
      </c>
    </row>
    <row r="2170">
      <c r="A2170" s="18" t="n"/>
      <c r="B2170" s="19" t="n"/>
      <c r="C2170" s="19" t="n"/>
      <c r="D2170" s="19" t="n"/>
      <c r="E2170" s="20" t="n"/>
      <c r="F2170" s="20" t="n"/>
      <c r="G2170" s="19" t="n"/>
      <c r="H2170" s="21">
        <f>IF(A2170="","",YEAR(A2170)*100+MONTH(A2170))</f>
        <v/>
      </c>
    </row>
    <row r="2171">
      <c r="A2171" s="18" t="n"/>
      <c r="B2171" s="19" t="n"/>
      <c r="C2171" s="19" t="n"/>
      <c r="D2171" s="19" t="n"/>
      <c r="E2171" s="20" t="n"/>
      <c r="F2171" s="20" t="n"/>
      <c r="G2171" s="19" t="n"/>
      <c r="H2171" s="21">
        <f>IF(A2171="","",YEAR(A2171)*100+MONTH(A2171))</f>
        <v/>
      </c>
    </row>
    <row r="2172">
      <c r="A2172" s="18" t="n"/>
      <c r="B2172" s="19" t="n"/>
      <c r="C2172" s="19" t="n"/>
      <c r="D2172" s="19" t="n"/>
      <c r="E2172" s="20" t="n"/>
      <c r="F2172" s="20" t="n"/>
      <c r="G2172" s="19" t="n"/>
      <c r="H2172" s="21">
        <f>IF(A2172="","",YEAR(A2172)*100+MONTH(A2172))</f>
        <v/>
      </c>
    </row>
    <row r="2173">
      <c r="A2173" s="18" t="n"/>
      <c r="B2173" s="19" t="n"/>
      <c r="C2173" s="19" t="n"/>
      <c r="D2173" s="19" t="n"/>
      <c r="E2173" s="20" t="n"/>
      <c r="F2173" s="20" t="n"/>
      <c r="G2173" s="19" t="n"/>
      <c r="H2173" s="21">
        <f>IF(A2173="","",YEAR(A2173)*100+MONTH(A2173))</f>
        <v/>
      </c>
    </row>
    <row r="2174">
      <c r="A2174" s="18" t="n"/>
      <c r="B2174" s="19" t="n"/>
      <c r="C2174" s="19" t="n"/>
      <c r="D2174" s="19" t="n"/>
      <c r="E2174" s="20" t="n"/>
      <c r="F2174" s="20" t="n"/>
      <c r="G2174" s="19" t="n"/>
      <c r="H2174" s="21">
        <f>IF(A2174="","",YEAR(A2174)*100+MONTH(A2174))</f>
        <v/>
      </c>
    </row>
    <row r="2175">
      <c r="A2175" s="18" t="n"/>
      <c r="B2175" s="19" t="n"/>
      <c r="C2175" s="19" t="n"/>
      <c r="D2175" s="19" t="n"/>
      <c r="E2175" s="20" t="n"/>
      <c r="F2175" s="20" t="n"/>
      <c r="G2175" s="19" t="n"/>
      <c r="H2175" s="21">
        <f>IF(A2175="","",YEAR(A2175)*100+MONTH(A2175))</f>
        <v/>
      </c>
    </row>
    <row r="2176">
      <c r="A2176" s="18" t="n"/>
      <c r="B2176" s="19" t="n"/>
      <c r="C2176" s="19" t="n"/>
      <c r="D2176" s="19" t="n"/>
      <c r="E2176" s="20" t="n"/>
      <c r="F2176" s="20" t="n"/>
      <c r="G2176" s="19" t="n"/>
      <c r="H2176" s="21">
        <f>IF(A2176="","",YEAR(A2176)*100+MONTH(A2176))</f>
        <v/>
      </c>
    </row>
    <row r="2177">
      <c r="A2177" s="18" t="n"/>
      <c r="B2177" s="19" t="n"/>
      <c r="C2177" s="19" t="n"/>
      <c r="D2177" s="19" t="n"/>
      <c r="E2177" s="20" t="n"/>
      <c r="F2177" s="20" t="n"/>
      <c r="G2177" s="19" t="n"/>
      <c r="H2177" s="21">
        <f>IF(A2177="","",YEAR(A2177)*100+MONTH(A2177))</f>
        <v/>
      </c>
    </row>
    <row r="2178">
      <c r="A2178" s="18" t="n"/>
      <c r="B2178" s="19" t="n"/>
      <c r="C2178" s="19" t="n"/>
      <c r="D2178" s="19" t="n"/>
      <c r="E2178" s="20" t="n"/>
      <c r="F2178" s="20" t="n"/>
      <c r="G2178" s="19" t="n"/>
      <c r="H2178" s="21">
        <f>IF(A2178="","",YEAR(A2178)*100+MONTH(A2178))</f>
        <v/>
      </c>
    </row>
    <row r="2179">
      <c r="A2179" s="18" t="n"/>
      <c r="B2179" s="19" t="n"/>
      <c r="C2179" s="19" t="n"/>
      <c r="D2179" s="19" t="n"/>
      <c r="E2179" s="20" t="n"/>
      <c r="F2179" s="20" t="n"/>
      <c r="G2179" s="19" t="n"/>
      <c r="H2179" s="21">
        <f>IF(A2179="","",YEAR(A2179)*100+MONTH(A2179))</f>
        <v/>
      </c>
    </row>
    <row r="2180">
      <c r="A2180" s="18" t="n"/>
      <c r="B2180" s="19" t="n"/>
      <c r="C2180" s="19" t="n"/>
      <c r="D2180" s="19" t="n"/>
      <c r="E2180" s="20" t="n"/>
      <c r="F2180" s="20" t="n"/>
      <c r="G2180" s="19" t="n"/>
      <c r="H2180" s="21">
        <f>IF(A2180="","",YEAR(A2180)*100+MONTH(A2180))</f>
        <v/>
      </c>
    </row>
    <row r="2181">
      <c r="A2181" s="18" t="n"/>
      <c r="B2181" s="19" t="n"/>
      <c r="C2181" s="19" t="n"/>
      <c r="D2181" s="19" t="n"/>
      <c r="E2181" s="20" t="n"/>
      <c r="F2181" s="20" t="n"/>
      <c r="G2181" s="19" t="n"/>
      <c r="H2181" s="21">
        <f>IF(A2181="","",YEAR(A2181)*100+MONTH(A2181))</f>
        <v/>
      </c>
    </row>
    <row r="2182">
      <c r="A2182" s="18" t="n"/>
      <c r="B2182" s="19" t="n"/>
      <c r="C2182" s="19" t="n"/>
      <c r="D2182" s="19" t="n"/>
      <c r="E2182" s="20" t="n"/>
      <c r="F2182" s="20" t="n"/>
      <c r="G2182" s="19" t="n"/>
      <c r="H2182" s="21">
        <f>IF(A2182="","",YEAR(A2182)*100+MONTH(A2182))</f>
        <v/>
      </c>
    </row>
    <row r="2183">
      <c r="A2183" s="18" t="n"/>
      <c r="B2183" s="19" t="n"/>
      <c r="C2183" s="19" t="n"/>
      <c r="D2183" s="19" t="n"/>
      <c r="E2183" s="20" t="n"/>
      <c r="F2183" s="20" t="n"/>
      <c r="G2183" s="19" t="n"/>
      <c r="H2183" s="21">
        <f>IF(A2183="","",YEAR(A2183)*100+MONTH(A2183))</f>
        <v/>
      </c>
    </row>
    <row r="2184">
      <c r="A2184" s="18" t="n"/>
      <c r="B2184" s="19" t="n"/>
      <c r="C2184" s="19" t="n"/>
      <c r="D2184" s="19" t="n"/>
      <c r="E2184" s="20" t="n"/>
      <c r="F2184" s="20" t="n"/>
      <c r="G2184" s="19" t="n"/>
      <c r="H2184" s="21">
        <f>IF(A2184="","",YEAR(A2184)*100+MONTH(A2184))</f>
        <v/>
      </c>
    </row>
    <row r="2185">
      <c r="A2185" s="18" t="n"/>
      <c r="B2185" s="19" t="n"/>
      <c r="C2185" s="19" t="n"/>
      <c r="D2185" s="19" t="n"/>
      <c r="E2185" s="20" t="n"/>
      <c r="F2185" s="20" t="n"/>
      <c r="G2185" s="19" t="n"/>
      <c r="H2185" s="21">
        <f>IF(A2185="","",YEAR(A2185)*100+MONTH(A2185))</f>
        <v/>
      </c>
    </row>
    <row r="2186">
      <c r="A2186" s="18" t="n"/>
      <c r="B2186" s="19" t="n"/>
      <c r="C2186" s="19" t="n"/>
      <c r="D2186" s="19" t="n"/>
      <c r="E2186" s="20" t="n"/>
      <c r="F2186" s="20" t="n"/>
      <c r="G2186" s="19" t="n"/>
      <c r="H2186" s="21">
        <f>IF(A2186="","",YEAR(A2186)*100+MONTH(A2186))</f>
        <v/>
      </c>
    </row>
    <row r="2187">
      <c r="A2187" s="18" t="n"/>
      <c r="B2187" s="19" t="n"/>
      <c r="C2187" s="19" t="n"/>
      <c r="D2187" s="19" t="n"/>
      <c r="E2187" s="20" t="n"/>
      <c r="F2187" s="20" t="n"/>
      <c r="G2187" s="19" t="n"/>
      <c r="H2187" s="21">
        <f>IF(A2187="","",YEAR(A2187)*100+MONTH(A2187))</f>
        <v/>
      </c>
    </row>
    <row r="2188">
      <c r="A2188" s="18" t="n"/>
      <c r="B2188" s="19" t="n"/>
      <c r="C2188" s="19" t="n"/>
      <c r="D2188" s="19" t="n"/>
      <c r="E2188" s="20" t="n"/>
      <c r="F2188" s="20" t="n"/>
      <c r="G2188" s="19" t="n"/>
      <c r="H2188" s="21">
        <f>IF(A2188="","",YEAR(A2188)*100+MONTH(A2188))</f>
        <v/>
      </c>
    </row>
    <row r="2189">
      <c r="A2189" s="18" t="n"/>
      <c r="B2189" s="19" t="n"/>
      <c r="C2189" s="19" t="n"/>
      <c r="D2189" s="19" t="n"/>
      <c r="E2189" s="20" t="n"/>
      <c r="F2189" s="20" t="n"/>
      <c r="G2189" s="19" t="n"/>
      <c r="H2189" s="21">
        <f>IF(A2189="","",YEAR(A2189)*100+MONTH(A2189))</f>
        <v/>
      </c>
    </row>
    <row r="2190">
      <c r="A2190" s="18" t="n"/>
      <c r="B2190" s="19" t="n"/>
      <c r="C2190" s="19" t="n"/>
      <c r="D2190" s="19" t="n"/>
      <c r="E2190" s="20" t="n"/>
      <c r="F2190" s="20" t="n"/>
      <c r="G2190" s="19" t="n"/>
      <c r="H2190" s="21">
        <f>IF(A2190="","",YEAR(A2190)*100+MONTH(A2190))</f>
        <v/>
      </c>
    </row>
    <row r="2191">
      <c r="A2191" s="18" t="n"/>
      <c r="B2191" s="19" t="n"/>
      <c r="C2191" s="19" t="n"/>
      <c r="D2191" s="19" t="n"/>
      <c r="E2191" s="20" t="n"/>
      <c r="F2191" s="20" t="n"/>
      <c r="G2191" s="19" t="n"/>
      <c r="H2191" s="21">
        <f>IF(A2191="","",YEAR(A2191)*100+MONTH(A2191))</f>
        <v/>
      </c>
    </row>
    <row r="2192">
      <c r="A2192" s="18" t="n"/>
      <c r="B2192" s="19" t="n"/>
      <c r="C2192" s="19" t="n"/>
      <c r="D2192" s="19" t="n"/>
      <c r="E2192" s="20" t="n"/>
      <c r="F2192" s="20" t="n"/>
      <c r="G2192" s="19" t="n"/>
      <c r="H2192" s="21">
        <f>IF(A2192="","",YEAR(A2192)*100+MONTH(A2192))</f>
        <v/>
      </c>
    </row>
    <row r="2193">
      <c r="A2193" s="18" t="n"/>
      <c r="B2193" s="19" t="n"/>
      <c r="C2193" s="19" t="n"/>
      <c r="D2193" s="19" t="n"/>
      <c r="E2193" s="20" t="n"/>
      <c r="F2193" s="20" t="n"/>
      <c r="G2193" s="19" t="n"/>
      <c r="H2193" s="21">
        <f>IF(A2193="","",YEAR(A2193)*100+MONTH(A2193))</f>
        <v/>
      </c>
    </row>
    <row r="2194">
      <c r="A2194" s="18" t="n"/>
      <c r="B2194" s="19" t="n"/>
      <c r="C2194" s="19" t="n"/>
      <c r="D2194" s="19" t="n"/>
      <c r="E2194" s="20" t="n"/>
      <c r="F2194" s="20" t="n"/>
      <c r="G2194" s="19" t="n"/>
      <c r="H2194" s="21">
        <f>IF(A2194="","",YEAR(A2194)*100+MONTH(A2194))</f>
        <v/>
      </c>
    </row>
    <row r="2195">
      <c r="A2195" s="18" t="n"/>
      <c r="B2195" s="19" t="n"/>
      <c r="C2195" s="19" t="n"/>
      <c r="D2195" s="19" t="n"/>
      <c r="E2195" s="20" t="n"/>
      <c r="F2195" s="20" t="n"/>
      <c r="G2195" s="19" t="n"/>
      <c r="H2195" s="21">
        <f>IF(A2195="","",YEAR(A2195)*100+MONTH(A2195))</f>
        <v/>
      </c>
    </row>
    <row r="2196">
      <c r="A2196" s="18" t="n"/>
      <c r="B2196" s="19" t="n"/>
      <c r="C2196" s="19" t="n"/>
      <c r="D2196" s="19" t="n"/>
      <c r="E2196" s="20" t="n"/>
      <c r="F2196" s="20" t="n"/>
      <c r="G2196" s="19" t="n"/>
      <c r="H2196" s="21">
        <f>IF(A2196="","",YEAR(A2196)*100+MONTH(A2196))</f>
        <v/>
      </c>
    </row>
    <row r="2197">
      <c r="A2197" s="18" t="n"/>
      <c r="B2197" s="19" t="n"/>
      <c r="C2197" s="19" t="n"/>
      <c r="D2197" s="19" t="n"/>
      <c r="E2197" s="20" t="n"/>
      <c r="F2197" s="20" t="n"/>
      <c r="G2197" s="19" t="n"/>
      <c r="H2197" s="21">
        <f>IF(A2197="","",YEAR(A2197)*100+MONTH(A2197))</f>
        <v/>
      </c>
    </row>
    <row r="2198">
      <c r="A2198" s="18" t="n"/>
      <c r="B2198" s="19" t="n"/>
      <c r="C2198" s="19" t="n"/>
      <c r="D2198" s="19" t="n"/>
      <c r="E2198" s="20" t="n"/>
      <c r="F2198" s="20" t="n"/>
      <c r="G2198" s="19" t="n"/>
      <c r="H2198" s="21">
        <f>IF(A2198="","",YEAR(A2198)*100+MONTH(A2198))</f>
        <v/>
      </c>
    </row>
    <row r="2199">
      <c r="A2199" s="18" t="n"/>
      <c r="B2199" s="19" t="n"/>
      <c r="C2199" s="19" t="n"/>
      <c r="D2199" s="19" t="n"/>
      <c r="E2199" s="20" t="n"/>
      <c r="F2199" s="20" t="n"/>
      <c r="G2199" s="19" t="n"/>
      <c r="H2199" s="21">
        <f>IF(A2199="","",YEAR(A2199)*100+MONTH(A2199))</f>
        <v/>
      </c>
    </row>
    <row r="2200">
      <c r="A2200" s="18" t="n"/>
      <c r="B2200" s="19" t="n"/>
      <c r="C2200" s="19" t="n"/>
      <c r="D2200" s="19" t="n"/>
      <c r="E2200" s="20" t="n"/>
      <c r="F2200" s="20" t="n"/>
      <c r="G2200" s="19" t="n"/>
      <c r="H2200" s="21">
        <f>IF(A2200="","",YEAR(A2200)*100+MONTH(A2200))</f>
        <v/>
      </c>
    </row>
    <row r="2201">
      <c r="A2201" s="18" t="n"/>
      <c r="B2201" s="19" t="n"/>
      <c r="C2201" s="19" t="n"/>
      <c r="D2201" s="19" t="n"/>
      <c r="E2201" s="20" t="n"/>
      <c r="F2201" s="20" t="n"/>
      <c r="G2201" s="19" t="n"/>
      <c r="H2201" s="21">
        <f>IF(A2201="","",YEAR(A2201)*100+MONTH(A2201))</f>
        <v/>
      </c>
    </row>
    <row r="2202">
      <c r="A2202" s="18" t="n"/>
      <c r="B2202" s="19" t="n"/>
      <c r="C2202" s="19" t="n"/>
      <c r="D2202" s="19" t="n"/>
      <c r="E2202" s="20" t="n"/>
      <c r="F2202" s="20" t="n"/>
      <c r="G2202" s="19" t="n"/>
      <c r="H2202" s="21">
        <f>IF(A2202="","",YEAR(A2202)*100+MONTH(A2202))</f>
        <v/>
      </c>
    </row>
    <row r="2203">
      <c r="A2203" s="18" t="n"/>
      <c r="B2203" s="19" t="n"/>
      <c r="C2203" s="19" t="n"/>
      <c r="D2203" s="19" t="n"/>
      <c r="E2203" s="20" t="n"/>
      <c r="F2203" s="20" t="n"/>
      <c r="G2203" s="19" t="n"/>
      <c r="H2203" s="21">
        <f>IF(A2203="","",YEAR(A2203)*100+MONTH(A2203))</f>
        <v/>
      </c>
    </row>
    <row r="2204">
      <c r="A2204" s="18" t="n"/>
      <c r="B2204" s="19" t="n"/>
      <c r="C2204" s="19" t="n"/>
      <c r="D2204" s="19" t="n"/>
      <c r="E2204" s="20" t="n"/>
      <c r="F2204" s="20" t="n"/>
      <c r="G2204" s="19" t="n"/>
      <c r="H2204" s="21">
        <f>IF(A2204="","",YEAR(A2204)*100+MONTH(A2204))</f>
        <v/>
      </c>
    </row>
    <row r="2205">
      <c r="A2205" s="18" t="n"/>
      <c r="B2205" s="19" t="n"/>
      <c r="C2205" s="19" t="n"/>
      <c r="D2205" s="19" t="n"/>
      <c r="E2205" s="20" t="n"/>
      <c r="F2205" s="20" t="n"/>
      <c r="G2205" s="19" t="n"/>
      <c r="H2205" s="21">
        <f>IF(A2205="","",YEAR(A2205)*100+MONTH(A2205))</f>
        <v/>
      </c>
    </row>
    <row r="2206">
      <c r="A2206" s="18" t="n"/>
      <c r="B2206" s="19" t="n"/>
      <c r="C2206" s="19" t="n"/>
      <c r="D2206" s="19" t="n"/>
      <c r="E2206" s="20" t="n"/>
      <c r="F2206" s="20" t="n"/>
      <c r="G2206" s="19" t="n"/>
      <c r="H2206" s="21">
        <f>IF(A2206="","",YEAR(A2206)*100+MONTH(A2206))</f>
        <v/>
      </c>
    </row>
    <row r="2207">
      <c r="A2207" s="18" t="n"/>
      <c r="B2207" s="19" t="n"/>
      <c r="C2207" s="19" t="n"/>
      <c r="D2207" s="19" t="n"/>
      <c r="E2207" s="20" t="n"/>
      <c r="F2207" s="20" t="n"/>
      <c r="G2207" s="19" t="n"/>
      <c r="H2207" s="21">
        <f>IF(A2207="","",YEAR(A2207)*100+MONTH(A2207))</f>
        <v/>
      </c>
    </row>
    <row r="2208">
      <c r="A2208" s="18" t="n"/>
      <c r="B2208" s="19" t="n"/>
      <c r="C2208" s="19" t="n"/>
      <c r="D2208" s="19" t="n"/>
      <c r="E2208" s="20" t="n"/>
      <c r="F2208" s="20" t="n"/>
      <c r="G2208" s="19" t="n"/>
      <c r="H2208" s="21">
        <f>IF(A2208="","",YEAR(A2208)*100+MONTH(A2208))</f>
        <v/>
      </c>
    </row>
    <row r="2209">
      <c r="A2209" s="18" t="n"/>
      <c r="B2209" s="19" t="n"/>
      <c r="C2209" s="19" t="n"/>
      <c r="D2209" s="19" t="n"/>
      <c r="E2209" s="20" t="n"/>
      <c r="F2209" s="20" t="n"/>
      <c r="G2209" s="19" t="n"/>
      <c r="H2209" s="21">
        <f>IF(A2209="","",YEAR(A2209)*100+MONTH(A2209))</f>
        <v/>
      </c>
    </row>
    <row r="2210">
      <c r="A2210" s="18" t="n"/>
      <c r="B2210" s="19" t="n"/>
      <c r="C2210" s="19" t="n"/>
      <c r="D2210" s="19" t="n"/>
      <c r="E2210" s="20" t="n"/>
      <c r="F2210" s="20" t="n"/>
      <c r="G2210" s="19" t="n"/>
      <c r="H2210" s="21">
        <f>IF(A2210="","",YEAR(A2210)*100+MONTH(A2210))</f>
        <v/>
      </c>
    </row>
    <row r="2211">
      <c r="A2211" s="18" t="n"/>
      <c r="B2211" s="19" t="n"/>
      <c r="C2211" s="19" t="n"/>
      <c r="D2211" s="19" t="n"/>
      <c r="E2211" s="20" t="n"/>
      <c r="F2211" s="20" t="n"/>
      <c r="G2211" s="19" t="n"/>
      <c r="H2211" s="21">
        <f>IF(A2211="","",YEAR(A2211)*100+MONTH(A2211))</f>
        <v/>
      </c>
    </row>
    <row r="2212">
      <c r="A2212" s="18" t="n"/>
      <c r="B2212" s="19" t="n"/>
      <c r="C2212" s="19" t="n"/>
      <c r="D2212" s="19" t="n"/>
      <c r="E2212" s="20" t="n"/>
      <c r="F2212" s="20" t="n"/>
      <c r="G2212" s="19" t="n"/>
      <c r="H2212" s="21">
        <f>IF(A2212="","",YEAR(A2212)*100+MONTH(A2212))</f>
        <v/>
      </c>
    </row>
    <row r="2213">
      <c r="A2213" s="18" t="n"/>
      <c r="B2213" s="19" t="n"/>
      <c r="C2213" s="19" t="n"/>
      <c r="D2213" s="19" t="n"/>
      <c r="E2213" s="20" t="n"/>
      <c r="F2213" s="20" t="n"/>
      <c r="G2213" s="19" t="n"/>
      <c r="H2213" s="21">
        <f>IF(A2213="","",YEAR(A2213)*100+MONTH(A2213))</f>
        <v/>
      </c>
    </row>
    <row r="2214">
      <c r="A2214" s="18" t="n"/>
      <c r="B2214" s="19" t="n"/>
      <c r="C2214" s="19" t="n"/>
      <c r="D2214" s="19" t="n"/>
      <c r="E2214" s="20" t="n"/>
      <c r="F2214" s="20" t="n"/>
      <c r="G2214" s="19" t="n"/>
      <c r="H2214" s="21">
        <f>IF(A2214="","",YEAR(A2214)*100+MONTH(A2214))</f>
        <v/>
      </c>
    </row>
    <row r="2215">
      <c r="A2215" s="18" t="n"/>
      <c r="B2215" s="19" t="n"/>
      <c r="C2215" s="19" t="n"/>
      <c r="D2215" s="19" t="n"/>
      <c r="E2215" s="20" t="n"/>
      <c r="F2215" s="20" t="n"/>
      <c r="G2215" s="19" t="n"/>
      <c r="H2215" s="21">
        <f>IF(A2215="","",YEAR(A2215)*100+MONTH(A2215))</f>
        <v/>
      </c>
    </row>
    <row r="2216">
      <c r="A2216" s="18" t="n"/>
      <c r="B2216" s="19" t="n"/>
      <c r="C2216" s="19" t="n"/>
      <c r="D2216" s="19" t="n"/>
      <c r="E2216" s="20" t="n"/>
      <c r="F2216" s="20" t="n"/>
      <c r="G2216" s="19" t="n"/>
      <c r="H2216" s="21">
        <f>IF(A2216="","",YEAR(A2216)*100+MONTH(A2216))</f>
        <v/>
      </c>
    </row>
    <row r="2217">
      <c r="A2217" s="18" t="n"/>
      <c r="B2217" s="19" t="n"/>
      <c r="C2217" s="19" t="n"/>
      <c r="D2217" s="19" t="n"/>
      <c r="E2217" s="20" t="n"/>
      <c r="F2217" s="20" t="n"/>
      <c r="G2217" s="19" t="n"/>
      <c r="H2217" s="21">
        <f>IF(A2217="","",YEAR(A2217)*100+MONTH(A2217))</f>
        <v/>
      </c>
    </row>
    <row r="2218">
      <c r="A2218" s="18" t="n"/>
      <c r="B2218" s="19" t="n"/>
      <c r="C2218" s="19" t="n"/>
      <c r="D2218" s="19" t="n"/>
      <c r="E2218" s="20" t="n"/>
      <c r="F2218" s="20" t="n"/>
      <c r="G2218" s="19" t="n"/>
      <c r="H2218" s="21">
        <f>IF(A2218="","",YEAR(A2218)*100+MONTH(A2218))</f>
        <v/>
      </c>
    </row>
    <row r="2219">
      <c r="A2219" s="18" t="n"/>
      <c r="B2219" s="19" t="n"/>
      <c r="C2219" s="19" t="n"/>
      <c r="D2219" s="19" t="n"/>
      <c r="E2219" s="20" t="n"/>
      <c r="F2219" s="20" t="n"/>
      <c r="G2219" s="19" t="n"/>
      <c r="H2219" s="21">
        <f>IF(A2219="","",YEAR(A2219)*100+MONTH(A2219))</f>
        <v/>
      </c>
    </row>
    <row r="2220">
      <c r="A2220" s="18" t="n"/>
      <c r="B2220" s="19" t="n"/>
      <c r="C2220" s="19" t="n"/>
      <c r="D2220" s="19" t="n"/>
      <c r="E2220" s="20" t="n"/>
      <c r="F2220" s="20" t="n"/>
      <c r="G2220" s="19" t="n"/>
      <c r="H2220" s="21">
        <f>IF(A2220="","",YEAR(A2220)*100+MONTH(A2220))</f>
        <v/>
      </c>
    </row>
    <row r="2221">
      <c r="A2221" s="18" t="n"/>
      <c r="B2221" s="19" t="n"/>
      <c r="C2221" s="19" t="n"/>
      <c r="D2221" s="19" t="n"/>
      <c r="E2221" s="20" t="n"/>
      <c r="F2221" s="20" t="n"/>
      <c r="G2221" s="19" t="n"/>
      <c r="H2221" s="21">
        <f>IF(A2221="","",YEAR(A2221)*100+MONTH(A2221))</f>
        <v/>
      </c>
    </row>
    <row r="2222">
      <c r="A2222" s="18" t="n"/>
      <c r="B2222" s="19" t="n"/>
      <c r="C2222" s="19" t="n"/>
      <c r="D2222" s="19" t="n"/>
      <c r="E2222" s="20" t="n"/>
      <c r="F2222" s="20" t="n"/>
      <c r="G2222" s="19" t="n"/>
      <c r="H2222" s="21">
        <f>IF(A2222="","",YEAR(A2222)*100+MONTH(A2222))</f>
        <v/>
      </c>
    </row>
    <row r="2223">
      <c r="A2223" s="18" t="n"/>
      <c r="B2223" s="19" t="n"/>
      <c r="C2223" s="19" t="n"/>
      <c r="D2223" s="19" t="n"/>
      <c r="E2223" s="20" t="n"/>
      <c r="F2223" s="20" t="n"/>
      <c r="G2223" s="19" t="n"/>
      <c r="H2223" s="21">
        <f>IF(A2223="","",YEAR(A2223)*100+MONTH(A2223))</f>
        <v/>
      </c>
    </row>
    <row r="2224">
      <c r="A2224" s="18" t="n"/>
      <c r="B2224" s="19" t="n"/>
      <c r="C2224" s="19" t="n"/>
      <c r="D2224" s="19" t="n"/>
      <c r="E2224" s="20" t="n"/>
      <c r="F2224" s="20" t="n"/>
      <c r="G2224" s="19" t="n"/>
      <c r="H2224" s="21">
        <f>IF(A2224="","",YEAR(A2224)*100+MONTH(A2224))</f>
        <v/>
      </c>
    </row>
    <row r="2225">
      <c r="A2225" s="18" t="n"/>
      <c r="B2225" s="19" t="n"/>
      <c r="C2225" s="19" t="n"/>
      <c r="D2225" s="19" t="n"/>
      <c r="E2225" s="20" t="n"/>
      <c r="F2225" s="20" t="n"/>
      <c r="G2225" s="19" t="n"/>
      <c r="H2225" s="21">
        <f>IF(A2225="","",YEAR(A2225)*100+MONTH(A2225))</f>
        <v/>
      </c>
    </row>
    <row r="2226">
      <c r="A2226" s="18" t="n"/>
      <c r="B2226" s="19" t="n"/>
      <c r="C2226" s="19" t="n"/>
      <c r="D2226" s="19" t="n"/>
      <c r="E2226" s="20" t="n"/>
      <c r="F2226" s="20" t="n"/>
      <c r="G2226" s="19" t="n"/>
      <c r="H2226" s="21">
        <f>IF(A2226="","",YEAR(A2226)*100+MONTH(A2226))</f>
        <v/>
      </c>
    </row>
    <row r="2227">
      <c r="A2227" s="18" t="n"/>
      <c r="B2227" s="19" t="n"/>
      <c r="C2227" s="19" t="n"/>
      <c r="D2227" s="19" t="n"/>
      <c r="E2227" s="20" t="n"/>
      <c r="F2227" s="20" t="n"/>
      <c r="G2227" s="19" t="n"/>
      <c r="H2227" s="21">
        <f>IF(A2227="","",YEAR(A2227)*100+MONTH(A2227))</f>
        <v/>
      </c>
    </row>
    <row r="2228">
      <c r="A2228" s="18" t="n"/>
      <c r="B2228" s="19" t="n"/>
      <c r="C2228" s="19" t="n"/>
      <c r="D2228" s="19" t="n"/>
      <c r="E2228" s="20" t="n"/>
      <c r="F2228" s="20" t="n"/>
      <c r="G2228" s="19" t="n"/>
      <c r="H2228" s="21">
        <f>IF(A2228="","",YEAR(A2228)*100+MONTH(A2228))</f>
        <v/>
      </c>
    </row>
    <row r="2229">
      <c r="A2229" s="18" t="n"/>
      <c r="B2229" s="19" t="n"/>
      <c r="C2229" s="19" t="n"/>
      <c r="D2229" s="19" t="n"/>
      <c r="E2229" s="20" t="n"/>
      <c r="F2229" s="20" t="n"/>
      <c r="G2229" s="19" t="n"/>
      <c r="H2229" s="21">
        <f>IF(A2229="","",YEAR(A2229)*100+MONTH(A2229))</f>
        <v/>
      </c>
    </row>
    <row r="2230">
      <c r="A2230" s="18" t="n"/>
      <c r="B2230" s="19" t="n"/>
      <c r="C2230" s="19" t="n"/>
      <c r="D2230" s="19" t="n"/>
      <c r="E2230" s="20" t="n"/>
      <c r="F2230" s="20" t="n"/>
      <c r="G2230" s="19" t="n"/>
      <c r="H2230" s="21">
        <f>IF(A2230="","",YEAR(A2230)*100+MONTH(A2230))</f>
        <v/>
      </c>
    </row>
    <row r="2231">
      <c r="A2231" s="18" t="n"/>
      <c r="B2231" s="19" t="n"/>
      <c r="C2231" s="19" t="n"/>
      <c r="D2231" s="19" t="n"/>
      <c r="E2231" s="20" t="n"/>
      <c r="F2231" s="20" t="n"/>
      <c r="G2231" s="19" t="n"/>
      <c r="H2231" s="21">
        <f>IF(A2231="","",YEAR(A2231)*100+MONTH(A2231))</f>
        <v/>
      </c>
    </row>
    <row r="2232">
      <c r="A2232" s="18" t="n"/>
      <c r="B2232" s="19" t="n"/>
      <c r="C2232" s="19" t="n"/>
      <c r="D2232" s="19" t="n"/>
      <c r="E2232" s="20" t="n"/>
      <c r="F2232" s="20" t="n"/>
      <c r="G2232" s="19" t="n"/>
      <c r="H2232" s="21">
        <f>IF(A2232="","",YEAR(A2232)*100+MONTH(A2232))</f>
        <v/>
      </c>
    </row>
    <row r="2233">
      <c r="A2233" s="18" t="n"/>
      <c r="B2233" s="19" t="n"/>
      <c r="C2233" s="19" t="n"/>
      <c r="D2233" s="19" t="n"/>
      <c r="E2233" s="20" t="n"/>
      <c r="F2233" s="20" t="n"/>
      <c r="G2233" s="19" t="n"/>
      <c r="H2233" s="21">
        <f>IF(A2233="","",YEAR(A2233)*100+MONTH(A2233))</f>
        <v/>
      </c>
    </row>
    <row r="2234">
      <c r="A2234" s="18" t="n"/>
      <c r="B2234" s="19" t="n"/>
      <c r="C2234" s="19" t="n"/>
      <c r="D2234" s="19" t="n"/>
      <c r="E2234" s="20" t="n"/>
      <c r="F2234" s="20" t="n"/>
      <c r="G2234" s="19" t="n"/>
      <c r="H2234" s="21">
        <f>IF(A2234="","",YEAR(A2234)*100+MONTH(A2234))</f>
        <v/>
      </c>
    </row>
    <row r="2235">
      <c r="A2235" s="18" t="n"/>
      <c r="B2235" s="19" t="n"/>
      <c r="C2235" s="19" t="n"/>
      <c r="D2235" s="19" t="n"/>
      <c r="E2235" s="20" t="n"/>
      <c r="F2235" s="20" t="n"/>
      <c r="G2235" s="19" t="n"/>
      <c r="H2235" s="21">
        <f>IF(A2235="","",YEAR(A2235)*100+MONTH(A2235))</f>
        <v/>
      </c>
    </row>
    <row r="2236">
      <c r="A2236" s="18" t="n"/>
      <c r="B2236" s="19" t="n"/>
      <c r="C2236" s="19" t="n"/>
      <c r="D2236" s="19" t="n"/>
      <c r="E2236" s="20" t="n"/>
      <c r="F2236" s="20" t="n"/>
      <c r="G2236" s="19" t="n"/>
      <c r="H2236" s="21">
        <f>IF(A2236="","",YEAR(A2236)*100+MONTH(A2236))</f>
        <v/>
      </c>
    </row>
    <row r="2237">
      <c r="A2237" s="18" t="n"/>
      <c r="B2237" s="19" t="n"/>
      <c r="C2237" s="19" t="n"/>
      <c r="D2237" s="19" t="n"/>
      <c r="E2237" s="20" t="n"/>
      <c r="F2237" s="20" t="n"/>
      <c r="G2237" s="19" t="n"/>
      <c r="H2237" s="21">
        <f>IF(A2237="","",YEAR(A2237)*100+MONTH(A2237))</f>
        <v/>
      </c>
    </row>
    <row r="2238">
      <c r="A2238" s="18" t="n"/>
      <c r="B2238" s="19" t="n"/>
      <c r="C2238" s="19" t="n"/>
      <c r="D2238" s="19" t="n"/>
      <c r="E2238" s="20" t="n"/>
      <c r="F2238" s="20" t="n"/>
      <c r="G2238" s="19" t="n"/>
      <c r="H2238" s="21">
        <f>IF(A2238="","",YEAR(A2238)*100+MONTH(A2238))</f>
        <v/>
      </c>
    </row>
    <row r="2239">
      <c r="A2239" s="18" t="n"/>
      <c r="B2239" s="19" t="n"/>
      <c r="C2239" s="19" t="n"/>
      <c r="D2239" s="19" t="n"/>
      <c r="E2239" s="20" t="n"/>
      <c r="F2239" s="20" t="n"/>
      <c r="G2239" s="19" t="n"/>
      <c r="H2239" s="21">
        <f>IF(A2239="","",YEAR(A2239)*100+MONTH(A2239))</f>
        <v/>
      </c>
    </row>
    <row r="2240">
      <c r="A2240" s="18" t="n"/>
      <c r="B2240" s="19" t="n"/>
      <c r="C2240" s="19" t="n"/>
      <c r="D2240" s="19" t="n"/>
      <c r="E2240" s="20" t="n"/>
      <c r="F2240" s="20" t="n"/>
      <c r="G2240" s="19" t="n"/>
      <c r="H2240" s="21">
        <f>IF(A2240="","",YEAR(A2240)*100+MONTH(A2240))</f>
        <v/>
      </c>
    </row>
    <row r="2241">
      <c r="A2241" s="18" t="n"/>
      <c r="B2241" s="19" t="n"/>
      <c r="C2241" s="19" t="n"/>
      <c r="D2241" s="19" t="n"/>
      <c r="E2241" s="20" t="n"/>
      <c r="F2241" s="20" t="n"/>
      <c r="G2241" s="19" t="n"/>
      <c r="H2241" s="21">
        <f>IF(A2241="","",YEAR(A2241)*100+MONTH(A2241))</f>
        <v/>
      </c>
    </row>
    <row r="2242">
      <c r="A2242" s="18" t="n"/>
      <c r="B2242" s="19" t="n"/>
      <c r="C2242" s="19" t="n"/>
      <c r="D2242" s="19" t="n"/>
      <c r="E2242" s="20" t="n"/>
      <c r="F2242" s="20" t="n"/>
      <c r="G2242" s="19" t="n"/>
      <c r="H2242" s="21">
        <f>IF(A2242="","",YEAR(A2242)*100+MONTH(A2242))</f>
        <v/>
      </c>
    </row>
    <row r="2243">
      <c r="A2243" s="18" t="n"/>
      <c r="B2243" s="19" t="n"/>
      <c r="C2243" s="19" t="n"/>
      <c r="D2243" s="19" t="n"/>
      <c r="E2243" s="20" t="n"/>
      <c r="F2243" s="20" t="n"/>
      <c r="G2243" s="19" t="n"/>
      <c r="H2243" s="21">
        <f>IF(A2243="","",YEAR(A2243)*100+MONTH(A2243))</f>
        <v/>
      </c>
    </row>
    <row r="2244">
      <c r="A2244" s="18" t="n"/>
      <c r="B2244" s="19" t="n"/>
      <c r="C2244" s="19" t="n"/>
      <c r="D2244" s="19" t="n"/>
      <c r="E2244" s="20" t="n"/>
      <c r="F2244" s="20" t="n"/>
      <c r="G2244" s="19" t="n"/>
      <c r="H2244" s="21">
        <f>IF(A2244="","",YEAR(A2244)*100+MONTH(A2244))</f>
        <v/>
      </c>
    </row>
    <row r="2245">
      <c r="A2245" s="18" t="n"/>
      <c r="B2245" s="19" t="n"/>
      <c r="C2245" s="19" t="n"/>
      <c r="D2245" s="19" t="n"/>
      <c r="E2245" s="20" t="n"/>
      <c r="F2245" s="20" t="n"/>
      <c r="G2245" s="19" t="n"/>
      <c r="H2245" s="21">
        <f>IF(A2245="","",YEAR(A2245)*100+MONTH(A2245))</f>
        <v/>
      </c>
    </row>
    <row r="2246">
      <c r="A2246" s="18" t="n"/>
      <c r="B2246" s="19" t="n"/>
      <c r="C2246" s="19" t="n"/>
      <c r="D2246" s="19" t="n"/>
      <c r="E2246" s="20" t="n"/>
      <c r="F2246" s="20" t="n"/>
      <c r="G2246" s="19" t="n"/>
      <c r="H2246" s="21">
        <f>IF(A2246="","",YEAR(A2246)*100+MONTH(A2246))</f>
        <v/>
      </c>
    </row>
    <row r="2247">
      <c r="A2247" s="18" t="n"/>
      <c r="B2247" s="19" t="n"/>
      <c r="C2247" s="19" t="n"/>
      <c r="D2247" s="19" t="n"/>
      <c r="E2247" s="20" t="n"/>
      <c r="F2247" s="20" t="n"/>
      <c r="G2247" s="19" t="n"/>
      <c r="H2247" s="21">
        <f>IF(A2247="","",YEAR(A2247)*100+MONTH(A2247))</f>
        <v/>
      </c>
    </row>
    <row r="2248">
      <c r="A2248" s="18" t="n"/>
      <c r="B2248" s="19" t="n"/>
      <c r="C2248" s="19" t="n"/>
      <c r="D2248" s="19" t="n"/>
      <c r="E2248" s="20" t="n"/>
      <c r="F2248" s="20" t="n"/>
      <c r="G2248" s="19" t="n"/>
      <c r="H2248" s="21">
        <f>IF(A2248="","",YEAR(A2248)*100+MONTH(A2248))</f>
        <v/>
      </c>
    </row>
    <row r="2249">
      <c r="A2249" s="18" t="n"/>
      <c r="B2249" s="19" t="n"/>
      <c r="C2249" s="19" t="n"/>
      <c r="D2249" s="19" t="n"/>
      <c r="E2249" s="20" t="n"/>
      <c r="F2249" s="20" t="n"/>
      <c r="G2249" s="19" t="n"/>
      <c r="H2249" s="21">
        <f>IF(A2249="","",YEAR(A2249)*100+MONTH(A2249))</f>
        <v/>
      </c>
    </row>
    <row r="2250">
      <c r="A2250" s="18" t="n"/>
      <c r="B2250" s="19" t="n"/>
      <c r="C2250" s="19" t="n"/>
      <c r="D2250" s="19" t="n"/>
      <c r="E2250" s="20" t="n"/>
      <c r="F2250" s="20" t="n"/>
      <c r="G2250" s="19" t="n"/>
      <c r="H2250" s="21">
        <f>IF(A2250="","",YEAR(A2250)*100+MONTH(A2250))</f>
        <v/>
      </c>
    </row>
    <row r="2251">
      <c r="A2251" s="18" t="n"/>
      <c r="B2251" s="19" t="n"/>
      <c r="C2251" s="19" t="n"/>
      <c r="D2251" s="19" t="n"/>
      <c r="E2251" s="20" t="n"/>
      <c r="F2251" s="20" t="n"/>
      <c r="G2251" s="19" t="n"/>
      <c r="H2251" s="21">
        <f>IF(A2251="","",YEAR(A2251)*100+MONTH(A2251))</f>
        <v/>
      </c>
    </row>
    <row r="2252">
      <c r="A2252" s="18" t="n"/>
      <c r="B2252" s="19" t="n"/>
      <c r="C2252" s="19" t="n"/>
      <c r="D2252" s="19" t="n"/>
      <c r="E2252" s="20" t="n"/>
      <c r="F2252" s="20" t="n"/>
      <c r="G2252" s="19" t="n"/>
      <c r="H2252" s="21">
        <f>IF(A2252="","",YEAR(A2252)*100+MONTH(A2252))</f>
        <v/>
      </c>
    </row>
    <row r="2253">
      <c r="A2253" s="18" t="n"/>
      <c r="B2253" s="19" t="n"/>
      <c r="C2253" s="19" t="n"/>
      <c r="D2253" s="19" t="n"/>
      <c r="E2253" s="20" t="n"/>
      <c r="F2253" s="20" t="n"/>
      <c r="G2253" s="19" t="n"/>
      <c r="H2253" s="21">
        <f>IF(A2253="","",YEAR(A2253)*100+MONTH(A2253))</f>
        <v/>
      </c>
    </row>
    <row r="2254">
      <c r="A2254" s="18" t="n"/>
      <c r="B2254" s="19" t="n"/>
      <c r="C2254" s="19" t="n"/>
      <c r="D2254" s="19" t="n"/>
      <c r="E2254" s="20" t="n"/>
      <c r="F2254" s="20" t="n"/>
      <c r="G2254" s="19" t="n"/>
      <c r="H2254" s="21">
        <f>IF(A2254="","",YEAR(A2254)*100+MONTH(A2254))</f>
        <v/>
      </c>
    </row>
    <row r="2255">
      <c r="A2255" s="18" t="n"/>
      <c r="B2255" s="19" t="n"/>
      <c r="C2255" s="19" t="n"/>
      <c r="D2255" s="19" t="n"/>
      <c r="E2255" s="20" t="n"/>
      <c r="F2255" s="20" t="n"/>
      <c r="G2255" s="19" t="n"/>
      <c r="H2255" s="21">
        <f>IF(A2255="","",YEAR(A2255)*100+MONTH(A2255))</f>
        <v/>
      </c>
    </row>
    <row r="2256">
      <c r="A2256" s="18" t="n"/>
      <c r="B2256" s="19" t="n"/>
      <c r="C2256" s="19" t="n"/>
      <c r="D2256" s="19" t="n"/>
      <c r="E2256" s="20" t="n"/>
      <c r="F2256" s="20" t="n"/>
      <c r="G2256" s="19" t="n"/>
      <c r="H2256" s="21">
        <f>IF(A2256="","",YEAR(A2256)*100+MONTH(A2256))</f>
        <v/>
      </c>
    </row>
    <row r="2257">
      <c r="A2257" s="18" t="n"/>
      <c r="B2257" s="19" t="n"/>
      <c r="C2257" s="19" t="n"/>
      <c r="D2257" s="19" t="n"/>
      <c r="E2257" s="20" t="n"/>
      <c r="F2257" s="20" t="n"/>
      <c r="G2257" s="19" t="n"/>
      <c r="H2257" s="21">
        <f>IF(A2257="","",YEAR(A2257)*100+MONTH(A2257))</f>
        <v/>
      </c>
    </row>
    <row r="2258">
      <c r="A2258" s="18" t="n"/>
      <c r="B2258" s="19" t="n"/>
      <c r="C2258" s="19" t="n"/>
      <c r="D2258" s="19" t="n"/>
      <c r="E2258" s="20" t="n"/>
      <c r="F2258" s="20" t="n"/>
      <c r="G2258" s="19" t="n"/>
      <c r="H2258" s="21">
        <f>IF(A2258="","",YEAR(A2258)*100+MONTH(A2258))</f>
        <v/>
      </c>
    </row>
    <row r="2259">
      <c r="A2259" s="18" t="n"/>
      <c r="B2259" s="19" t="n"/>
      <c r="C2259" s="19" t="n"/>
      <c r="D2259" s="19" t="n"/>
      <c r="E2259" s="20" t="n"/>
      <c r="F2259" s="20" t="n"/>
      <c r="G2259" s="19" t="n"/>
      <c r="H2259" s="21">
        <f>IF(A2259="","",YEAR(A2259)*100+MONTH(A2259))</f>
        <v/>
      </c>
    </row>
    <row r="2260">
      <c r="A2260" s="18" t="n"/>
      <c r="B2260" s="19" t="n"/>
      <c r="C2260" s="19" t="n"/>
      <c r="D2260" s="19" t="n"/>
      <c r="E2260" s="20" t="n"/>
      <c r="F2260" s="20" t="n"/>
      <c r="G2260" s="19" t="n"/>
      <c r="H2260" s="21">
        <f>IF(A2260="","",YEAR(A2260)*100+MONTH(A2260))</f>
        <v/>
      </c>
    </row>
    <row r="2261">
      <c r="A2261" s="18" t="n"/>
      <c r="B2261" s="19" t="n"/>
      <c r="C2261" s="19" t="n"/>
      <c r="D2261" s="19" t="n"/>
      <c r="E2261" s="20" t="n"/>
      <c r="F2261" s="20" t="n"/>
      <c r="G2261" s="19" t="n"/>
      <c r="H2261" s="21">
        <f>IF(A2261="","",YEAR(A2261)*100+MONTH(A2261))</f>
        <v/>
      </c>
    </row>
    <row r="2262">
      <c r="A2262" s="18" t="n"/>
      <c r="B2262" s="19" t="n"/>
      <c r="C2262" s="19" t="n"/>
      <c r="D2262" s="19" t="n"/>
      <c r="E2262" s="20" t="n"/>
      <c r="F2262" s="20" t="n"/>
      <c r="G2262" s="19" t="n"/>
      <c r="H2262" s="21">
        <f>IF(A2262="","",YEAR(A2262)*100+MONTH(A2262))</f>
        <v/>
      </c>
    </row>
    <row r="2263">
      <c r="A2263" s="18" t="n"/>
      <c r="B2263" s="19" t="n"/>
      <c r="C2263" s="19" t="n"/>
      <c r="D2263" s="19" t="n"/>
      <c r="E2263" s="20" t="n"/>
      <c r="F2263" s="20" t="n"/>
      <c r="G2263" s="19" t="n"/>
      <c r="H2263" s="21">
        <f>IF(A2263="","",YEAR(A2263)*100+MONTH(A2263))</f>
        <v/>
      </c>
    </row>
    <row r="2264">
      <c r="A2264" s="18" t="n"/>
      <c r="B2264" s="19" t="n"/>
      <c r="C2264" s="19" t="n"/>
      <c r="D2264" s="19" t="n"/>
      <c r="E2264" s="20" t="n"/>
      <c r="F2264" s="20" t="n"/>
      <c r="G2264" s="19" t="n"/>
      <c r="H2264" s="21">
        <f>IF(A2264="","",YEAR(A2264)*100+MONTH(A2264))</f>
        <v/>
      </c>
    </row>
    <row r="2265">
      <c r="A2265" s="18" t="n"/>
      <c r="B2265" s="19" t="n"/>
      <c r="C2265" s="19" t="n"/>
      <c r="D2265" s="19" t="n"/>
      <c r="E2265" s="20" t="n"/>
      <c r="F2265" s="20" t="n"/>
      <c r="G2265" s="19" t="n"/>
      <c r="H2265" s="21">
        <f>IF(A2265="","",YEAR(A2265)*100+MONTH(A2265))</f>
        <v/>
      </c>
    </row>
    <row r="2266">
      <c r="A2266" s="18" t="n"/>
      <c r="B2266" s="19" t="n"/>
      <c r="C2266" s="19" t="n"/>
      <c r="D2266" s="19" t="n"/>
      <c r="E2266" s="20" t="n"/>
      <c r="F2266" s="20" t="n"/>
      <c r="G2266" s="19" t="n"/>
      <c r="H2266" s="21">
        <f>IF(A2266="","",YEAR(A2266)*100+MONTH(A2266))</f>
        <v/>
      </c>
    </row>
    <row r="2267">
      <c r="A2267" s="18" t="n"/>
      <c r="B2267" s="19" t="n"/>
      <c r="C2267" s="19" t="n"/>
      <c r="D2267" s="19" t="n"/>
      <c r="E2267" s="20" t="n"/>
      <c r="F2267" s="20" t="n"/>
      <c r="G2267" s="19" t="n"/>
      <c r="H2267" s="21">
        <f>IF(A2267="","",YEAR(A2267)*100+MONTH(A2267))</f>
        <v/>
      </c>
    </row>
    <row r="2268">
      <c r="A2268" s="18" t="n"/>
      <c r="B2268" s="19" t="n"/>
      <c r="C2268" s="19" t="n"/>
      <c r="D2268" s="19" t="n"/>
      <c r="E2268" s="20" t="n"/>
      <c r="F2268" s="20" t="n"/>
      <c r="G2268" s="19" t="n"/>
      <c r="H2268" s="21">
        <f>IF(A2268="","",YEAR(A2268)*100+MONTH(A2268))</f>
        <v/>
      </c>
    </row>
    <row r="2269">
      <c r="A2269" s="18" t="n"/>
      <c r="B2269" s="19" t="n"/>
      <c r="C2269" s="19" t="n"/>
      <c r="D2269" s="19" t="n"/>
      <c r="E2269" s="20" t="n"/>
      <c r="F2269" s="20" t="n"/>
      <c r="G2269" s="19" t="n"/>
      <c r="H2269" s="21">
        <f>IF(A2269="","",YEAR(A2269)*100+MONTH(A2269))</f>
        <v/>
      </c>
    </row>
    <row r="2270">
      <c r="A2270" s="18" t="n"/>
      <c r="B2270" s="19" t="n"/>
      <c r="C2270" s="19" t="n"/>
      <c r="D2270" s="19" t="n"/>
      <c r="E2270" s="20" t="n"/>
      <c r="F2270" s="20" t="n"/>
      <c r="G2270" s="19" t="n"/>
      <c r="H2270" s="21">
        <f>IF(A2270="","",YEAR(A2270)*100+MONTH(A2270))</f>
        <v/>
      </c>
    </row>
    <row r="2271">
      <c r="A2271" s="18" t="n"/>
      <c r="B2271" s="19" t="n"/>
      <c r="C2271" s="19" t="n"/>
      <c r="D2271" s="19" t="n"/>
      <c r="E2271" s="20" t="n"/>
      <c r="F2271" s="20" t="n"/>
      <c r="G2271" s="19" t="n"/>
      <c r="H2271" s="21">
        <f>IF(A2271="","",YEAR(A2271)*100+MONTH(A2271))</f>
        <v/>
      </c>
    </row>
    <row r="2272">
      <c r="A2272" s="18" t="n"/>
      <c r="B2272" s="19" t="n"/>
      <c r="C2272" s="19" t="n"/>
      <c r="D2272" s="19" t="n"/>
      <c r="E2272" s="20" t="n"/>
      <c r="F2272" s="20" t="n"/>
      <c r="G2272" s="19" t="n"/>
      <c r="H2272" s="21">
        <f>IF(A2272="","",YEAR(A2272)*100+MONTH(A2272))</f>
        <v/>
      </c>
    </row>
    <row r="2273">
      <c r="A2273" s="18" t="n"/>
      <c r="B2273" s="19" t="n"/>
      <c r="C2273" s="19" t="n"/>
      <c r="D2273" s="19" t="n"/>
      <c r="E2273" s="20" t="n"/>
      <c r="F2273" s="20" t="n"/>
      <c r="G2273" s="19" t="n"/>
      <c r="H2273" s="21">
        <f>IF(A2273="","",YEAR(A2273)*100+MONTH(A2273))</f>
        <v/>
      </c>
    </row>
    <row r="2274">
      <c r="A2274" s="18" t="n"/>
      <c r="B2274" s="19" t="n"/>
      <c r="C2274" s="19" t="n"/>
      <c r="D2274" s="19" t="n"/>
      <c r="E2274" s="20" t="n"/>
      <c r="F2274" s="20" t="n"/>
      <c r="G2274" s="19" t="n"/>
      <c r="H2274" s="21">
        <f>IF(A2274="","",YEAR(A2274)*100+MONTH(A2274))</f>
        <v/>
      </c>
    </row>
    <row r="2275">
      <c r="A2275" s="18" t="n"/>
      <c r="B2275" s="19" t="n"/>
      <c r="C2275" s="19" t="n"/>
      <c r="D2275" s="19" t="n"/>
      <c r="E2275" s="20" t="n"/>
      <c r="F2275" s="20" t="n"/>
      <c r="G2275" s="19" t="n"/>
      <c r="H2275" s="21">
        <f>IF(A2275="","",YEAR(A2275)*100+MONTH(A2275))</f>
        <v/>
      </c>
    </row>
    <row r="2276">
      <c r="A2276" s="18" t="n"/>
      <c r="B2276" s="19" t="n"/>
      <c r="C2276" s="19" t="n"/>
      <c r="D2276" s="19" t="n"/>
      <c r="E2276" s="20" t="n"/>
      <c r="F2276" s="20" t="n"/>
      <c r="G2276" s="19" t="n"/>
      <c r="H2276" s="21">
        <f>IF(A2276="","",YEAR(A2276)*100+MONTH(A2276))</f>
        <v/>
      </c>
    </row>
    <row r="2277">
      <c r="A2277" s="18" t="n"/>
      <c r="B2277" s="19" t="n"/>
      <c r="C2277" s="19" t="n"/>
      <c r="D2277" s="19" t="n"/>
      <c r="E2277" s="20" t="n"/>
      <c r="F2277" s="20" t="n"/>
      <c r="G2277" s="19" t="n"/>
      <c r="H2277" s="21">
        <f>IF(A2277="","",YEAR(A2277)*100+MONTH(A2277))</f>
        <v/>
      </c>
    </row>
    <row r="2278">
      <c r="A2278" s="18" t="n"/>
      <c r="B2278" s="19" t="n"/>
      <c r="C2278" s="19" t="n"/>
      <c r="D2278" s="19" t="n"/>
      <c r="E2278" s="20" t="n"/>
      <c r="F2278" s="20" t="n"/>
      <c r="G2278" s="19" t="n"/>
      <c r="H2278" s="21">
        <f>IF(A2278="","",YEAR(A2278)*100+MONTH(A2278))</f>
        <v/>
      </c>
    </row>
    <row r="2279">
      <c r="A2279" s="18" t="n"/>
      <c r="B2279" s="19" t="n"/>
      <c r="C2279" s="19" t="n"/>
      <c r="D2279" s="19" t="n"/>
      <c r="E2279" s="20" t="n"/>
      <c r="F2279" s="20" t="n"/>
      <c r="G2279" s="19" t="n"/>
      <c r="H2279" s="21">
        <f>IF(A2279="","",YEAR(A2279)*100+MONTH(A2279))</f>
        <v/>
      </c>
    </row>
    <row r="2280">
      <c r="A2280" s="18" t="n"/>
      <c r="B2280" s="19" t="n"/>
      <c r="C2280" s="19" t="n"/>
      <c r="D2280" s="19" t="n"/>
      <c r="E2280" s="20" t="n"/>
      <c r="F2280" s="20" t="n"/>
      <c r="G2280" s="19" t="n"/>
      <c r="H2280" s="21">
        <f>IF(A2280="","",YEAR(A2280)*100+MONTH(A2280))</f>
        <v/>
      </c>
    </row>
    <row r="2281">
      <c r="A2281" s="18" t="n"/>
      <c r="B2281" s="19" t="n"/>
      <c r="C2281" s="19" t="n"/>
      <c r="D2281" s="19" t="n"/>
      <c r="E2281" s="20" t="n"/>
      <c r="F2281" s="20" t="n"/>
      <c r="G2281" s="19" t="n"/>
      <c r="H2281" s="21">
        <f>IF(A2281="","",YEAR(A2281)*100+MONTH(A2281))</f>
        <v/>
      </c>
    </row>
    <row r="2282">
      <c r="A2282" s="18" t="n"/>
      <c r="B2282" s="19" t="n"/>
      <c r="C2282" s="19" t="n"/>
      <c r="D2282" s="19" t="n"/>
      <c r="E2282" s="20" t="n"/>
      <c r="F2282" s="20" t="n"/>
      <c r="G2282" s="19" t="n"/>
      <c r="H2282" s="21">
        <f>IF(A2282="","",YEAR(A2282)*100+MONTH(A2282))</f>
        <v/>
      </c>
    </row>
    <row r="2283">
      <c r="A2283" s="18" t="n"/>
      <c r="B2283" s="19" t="n"/>
      <c r="C2283" s="19" t="n"/>
      <c r="D2283" s="19" t="n"/>
      <c r="E2283" s="20" t="n"/>
      <c r="F2283" s="20" t="n"/>
      <c r="G2283" s="19" t="n"/>
      <c r="H2283" s="21">
        <f>IF(A2283="","",YEAR(A2283)*100+MONTH(A2283))</f>
        <v/>
      </c>
    </row>
    <row r="2284">
      <c r="A2284" s="18" t="n"/>
      <c r="B2284" s="19" t="n"/>
      <c r="C2284" s="19" t="n"/>
      <c r="D2284" s="19" t="n"/>
      <c r="E2284" s="20" t="n"/>
      <c r="F2284" s="20" t="n"/>
      <c r="G2284" s="19" t="n"/>
      <c r="H2284" s="21">
        <f>IF(A2284="","",YEAR(A2284)*100+MONTH(A2284))</f>
        <v/>
      </c>
    </row>
    <row r="2285">
      <c r="A2285" s="18" t="n"/>
      <c r="B2285" s="19" t="n"/>
      <c r="C2285" s="19" t="n"/>
      <c r="D2285" s="19" t="n"/>
      <c r="E2285" s="20" t="n"/>
      <c r="F2285" s="20" t="n"/>
      <c r="G2285" s="19" t="n"/>
      <c r="H2285" s="21">
        <f>IF(A2285="","",YEAR(A2285)*100+MONTH(A2285))</f>
        <v/>
      </c>
    </row>
    <row r="2286">
      <c r="A2286" s="18" t="n"/>
      <c r="B2286" s="19" t="n"/>
      <c r="C2286" s="19" t="n"/>
      <c r="D2286" s="19" t="n"/>
      <c r="E2286" s="20" t="n"/>
      <c r="F2286" s="20" t="n"/>
      <c r="G2286" s="19" t="n"/>
      <c r="H2286" s="21">
        <f>IF(A2286="","",YEAR(A2286)*100+MONTH(A2286))</f>
        <v/>
      </c>
    </row>
    <row r="2287">
      <c r="A2287" s="18" t="n"/>
      <c r="B2287" s="19" t="n"/>
      <c r="C2287" s="19" t="n"/>
      <c r="D2287" s="19" t="n"/>
      <c r="E2287" s="20" t="n"/>
      <c r="F2287" s="20" t="n"/>
      <c r="G2287" s="19" t="n"/>
      <c r="H2287" s="21">
        <f>IF(A2287="","",YEAR(A2287)*100+MONTH(A2287))</f>
        <v/>
      </c>
    </row>
    <row r="2288">
      <c r="A2288" s="18" t="n"/>
      <c r="B2288" s="19" t="n"/>
      <c r="C2288" s="19" t="n"/>
      <c r="D2288" s="19" t="n"/>
      <c r="E2288" s="20" t="n"/>
      <c r="F2288" s="20" t="n"/>
      <c r="G2288" s="19" t="n"/>
      <c r="H2288" s="21">
        <f>IF(A2288="","",YEAR(A2288)*100+MONTH(A2288))</f>
        <v/>
      </c>
    </row>
    <row r="2289">
      <c r="A2289" s="18" t="n"/>
      <c r="B2289" s="19" t="n"/>
      <c r="C2289" s="19" t="n"/>
      <c r="D2289" s="19" t="n"/>
      <c r="E2289" s="20" t="n"/>
      <c r="F2289" s="20" t="n"/>
      <c r="G2289" s="19" t="n"/>
      <c r="H2289" s="21">
        <f>IF(A2289="","",YEAR(A2289)*100+MONTH(A2289))</f>
        <v/>
      </c>
    </row>
    <row r="2290">
      <c r="A2290" s="18" t="n"/>
      <c r="B2290" s="19" t="n"/>
      <c r="C2290" s="19" t="n"/>
      <c r="D2290" s="19" t="n"/>
      <c r="E2290" s="20" t="n"/>
      <c r="F2290" s="20" t="n"/>
      <c r="G2290" s="19" t="n"/>
      <c r="H2290" s="21">
        <f>IF(A2290="","",YEAR(A2290)*100+MONTH(A2290))</f>
        <v/>
      </c>
    </row>
    <row r="2291">
      <c r="A2291" s="18" t="n"/>
      <c r="B2291" s="19" t="n"/>
      <c r="C2291" s="19" t="n"/>
      <c r="D2291" s="19" t="n"/>
      <c r="E2291" s="20" t="n"/>
      <c r="F2291" s="20" t="n"/>
      <c r="G2291" s="19" t="n"/>
      <c r="H2291" s="21">
        <f>IF(A2291="","",YEAR(A2291)*100+MONTH(A2291))</f>
        <v/>
      </c>
    </row>
    <row r="2292">
      <c r="A2292" s="18" t="n"/>
      <c r="B2292" s="19" t="n"/>
      <c r="C2292" s="19" t="n"/>
      <c r="D2292" s="19" t="n"/>
      <c r="E2292" s="20" t="n"/>
      <c r="F2292" s="20" t="n"/>
      <c r="G2292" s="19" t="n"/>
      <c r="H2292" s="21">
        <f>IF(A2292="","",YEAR(A2292)*100+MONTH(A2292))</f>
        <v/>
      </c>
    </row>
    <row r="2293">
      <c r="A2293" s="18" t="n"/>
      <c r="B2293" s="19" t="n"/>
      <c r="C2293" s="19" t="n"/>
      <c r="D2293" s="19" t="n"/>
      <c r="E2293" s="20" t="n"/>
      <c r="F2293" s="20" t="n"/>
      <c r="G2293" s="19" t="n"/>
      <c r="H2293" s="21">
        <f>IF(A2293="","",YEAR(A2293)*100+MONTH(A2293))</f>
        <v/>
      </c>
    </row>
    <row r="2294">
      <c r="A2294" s="18" t="n"/>
      <c r="B2294" s="19" t="n"/>
      <c r="C2294" s="19" t="n"/>
      <c r="D2294" s="19" t="n"/>
      <c r="E2294" s="20" t="n"/>
      <c r="F2294" s="20" t="n"/>
      <c r="G2294" s="19" t="n"/>
      <c r="H2294" s="21">
        <f>IF(A2294="","",YEAR(A2294)*100+MONTH(A2294))</f>
        <v/>
      </c>
    </row>
    <row r="2295">
      <c r="A2295" s="18" t="n"/>
      <c r="B2295" s="19" t="n"/>
      <c r="C2295" s="19" t="n"/>
      <c r="D2295" s="19" t="n"/>
      <c r="E2295" s="20" t="n"/>
      <c r="F2295" s="20" t="n"/>
      <c r="G2295" s="19" t="n"/>
      <c r="H2295" s="21">
        <f>IF(A2295="","",YEAR(A2295)*100+MONTH(A2295))</f>
        <v/>
      </c>
    </row>
    <row r="2296">
      <c r="A2296" s="18" t="n"/>
      <c r="B2296" s="19" t="n"/>
      <c r="C2296" s="19" t="n"/>
      <c r="D2296" s="19" t="n"/>
      <c r="E2296" s="20" t="n"/>
      <c r="F2296" s="20" t="n"/>
      <c r="G2296" s="19" t="n"/>
      <c r="H2296" s="21">
        <f>IF(A2296="","",YEAR(A2296)*100+MONTH(A2296))</f>
        <v/>
      </c>
    </row>
    <row r="2297">
      <c r="A2297" s="18" t="n"/>
      <c r="B2297" s="19" t="n"/>
      <c r="C2297" s="19" t="n"/>
      <c r="D2297" s="19" t="n"/>
      <c r="E2297" s="20" t="n"/>
      <c r="F2297" s="20" t="n"/>
      <c r="G2297" s="19" t="n"/>
      <c r="H2297" s="21">
        <f>IF(A2297="","",YEAR(A2297)*100+MONTH(A2297))</f>
        <v/>
      </c>
    </row>
    <row r="2298">
      <c r="A2298" s="18" t="n"/>
      <c r="B2298" s="19" t="n"/>
      <c r="C2298" s="19" t="n"/>
      <c r="D2298" s="19" t="n"/>
      <c r="E2298" s="20" t="n"/>
      <c r="F2298" s="20" t="n"/>
      <c r="G2298" s="19" t="n"/>
      <c r="H2298" s="21">
        <f>IF(A2298="","",YEAR(A2298)*100+MONTH(A2298))</f>
        <v/>
      </c>
    </row>
    <row r="2299">
      <c r="A2299" s="18" t="n"/>
      <c r="B2299" s="19" t="n"/>
      <c r="C2299" s="19" t="n"/>
      <c r="D2299" s="19" t="n"/>
      <c r="E2299" s="20" t="n"/>
      <c r="F2299" s="20" t="n"/>
      <c r="G2299" s="19" t="n"/>
      <c r="H2299" s="21">
        <f>IF(A2299="","",YEAR(A2299)*100+MONTH(A2299))</f>
        <v/>
      </c>
    </row>
    <row r="2300">
      <c r="A2300" s="18" t="n"/>
      <c r="B2300" s="19" t="n"/>
      <c r="C2300" s="19" t="n"/>
      <c r="D2300" s="19" t="n"/>
      <c r="E2300" s="20" t="n"/>
      <c r="F2300" s="20" t="n"/>
      <c r="G2300" s="19" t="n"/>
      <c r="H2300" s="21">
        <f>IF(A2300="","",YEAR(A2300)*100+MONTH(A2300))</f>
        <v/>
      </c>
    </row>
    <row r="2301">
      <c r="A2301" s="18" t="n"/>
      <c r="B2301" s="19" t="n"/>
      <c r="C2301" s="19" t="n"/>
      <c r="D2301" s="19" t="n"/>
      <c r="E2301" s="20" t="n"/>
      <c r="F2301" s="20" t="n"/>
      <c r="G2301" s="19" t="n"/>
      <c r="H2301" s="21">
        <f>IF(A2301="","",YEAR(A2301)*100+MONTH(A2301))</f>
        <v/>
      </c>
    </row>
    <row r="2302">
      <c r="A2302" s="18" t="n"/>
      <c r="B2302" s="19" t="n"/>
      <c r="C2302" s="19" t="n"/>
      <c r="D2302" s="19" t="n"/>
      <c r="E2302" s="20" t="n"/>
      <c r="F2302" s="20" t="n"/>
      <c r="G2302" s="19" t="n"/>
      <c r="H2302" s="21">
        <f>IF(A2302="","",YEAR(A2302)*100+MONTH(A2302))</f>
        <v/>
      </c>
    </row>
    <row r="2303">
      <c r="A2303" s="18" t="n"/>
      <c r="B2303" s="19" t="n"/>
      <c r="C2303" s="19" t="n"/>
      <c r="D2303" s="19" t="n"/>
      <c r="E2303" s="20" t="n"/>
      <c r="F2303" s="20" t="n"/>
      <c r="G2303" s="19" t="n"/>
      <c r="H2303" s="21">
        <f>IF(A2303="","",YEAR(A2303)*100+MONTH(A2303))</f>
        <v/>
      </c>
    </row>
    <row r="2304">
      <c r="A2304" s="18" t="n"/>
      <c r="B2304" s="19" t="n"/>
      <c r="C2304" s="19" t="n"/>
      <c r="D2304" s="19" t="n"/>
      <c r="E2304" s="20" t="n"/>
      <c r="F2304" s="20" t="n"/>
      <c r="G2304" s="19" t="n"/>
      <c r="H2304" s="21">
        <f>IF(A2304="","",YEAR(A2304)*100+MONTH(A2304))</f>
        <v/>
      </c>
    </row>
    <row r="2305">
      <c r="A2305" s="18" t="n"/>
      <c r="B2305" s="19" t="n"/>
      <c r="C2305" s="19" t="n"/>
      <c r="D2305" s="19" t="n"/>
      <c r="E2305" s="20" t="n"/>
      <c r="F2305" s="20" t="n"/>
      <c r="G2305" s="19" t="n"/>
      <c r="H2305" s="21">
        <f>IF(A2305="","",YEAR(A2305)*100+MONTH(A2305))</f>
        <v/>
      </c>
    </row>
    <row r="2306">
      <c r="A2306" s="18" t="n"/>
      <c r="B2306" s="19" t="n"/>
      <c r="C2306" s="19" t="n"/>
      <c r="D2306" s="19" t="n"/>
      <c r="E2306" s="20" t="n"/>
      <c r="F2306" s="20" t="n"/>
      <c r="G2306" s="19" t="n"/>
      <c r="H2306" s="21">
        <f>IF(A2306="","",YEAR(A2306)*100+MONTH(A2306))</f>
        <v/>
      </c>
    </row>
    <row r="2307">
      <c r="A2307" s="18" t="n"/>
      <c r="B2307" s="19" t="n"/>
      <c r="C2307" s="19" t="n"/>
      <c r="D2307" s="19" t="n"/>
      <c r="E2307" s="20" t="n"/>
      <c r="F2307" s="20" t="n"/>
      <c r="G2307" s="19" t="n"/>
      <c r="H2307" s="21">
        <f>IF(A2307="","",YEAR(A2307)*100+MONTH(A2307))</f>
        <v/>
      </c>
    </row>
    <row r="2308">
      <c r="A2308" s="18" t="n"/>
      <c r="B2308" s="19" t="n"/>
      <c r="C2308" s="19" t="n"/>
      <c r="D2308" s="19" t="n"/>
      <c r="E2308" s="20" t="n"/>
      <c r="F2308" s="20" t="n"/>
      <c r="G2308" s="19" t="n"/>
      <c r="H2308" s="21">
        <f>IF(A2308="","",YEAR(A2308)*100+MONTH(A2308))</f>
        <v/>
      </c>
    </row>
    <row r="2309">
      <c r="A2309" s="18" t="n"/>
      <c r="B2309" s="19" t="n"/>
      <c r="C2309" s="19" t="n"/>
      <c r="D2309" s="19" t="n"/>
      <c r="E2309" s="20" t="n"/>
      <c r="F2309" s="20" t="n"/>
      <c r="G2309" s="19" t="n"/>
      <c r="H2309" s="21">
        <f>IF(A2309="","",YEAR(A2309)*100+MONTH(A2309))</f>
        <v/>
      </c>
    </row>
    <row r="2310">
      <c r="A2310" s="18" t="n"/>
      <c r="B2310" s="19" t="n"/>
      <c r="C2310" s="19" t="n"/>
      <c r="D2310" s="19" t="n"/>
      <c r="E2310" s="20" t="n"/>
      <c r="F2310" s="20" t="n"/>
      <c r="G2310" s="19" t="n"/>
      <c r="H2310" s="21">
        <f>IF(A2310="","",YEAR(A2310)*100+MONTH(A2310))</f>
        <v/>
      </c>
    </row>
    <row r="2311">
      <c r="A2311" s="18" t="n"/>
      <c r="B2311" s="19" t="n"/>
      <c r="C2311" s="19" t="n"/>
      <c r="D2311" s="19" t="n"/>
      <c r="E2311" s="20" t="n"/>
      <c r="F2311" s="20" t="n"/>
      <c r="G2311" s="19" t="n"/>
      <c r="H2311" s="21">
        <f>IF(A2311="","",YEAR(A2311)*100+MONTH(A2311))</f>
        <v/>
      </c>
    </row>
    <row r="2312">
      <c r="A2312" s="18" t="n"/>
      <c r="B2312" s="19" t="n"/>
      <c r="C2312" s="19" t="n"/>
      <c r="D2312" s="19" t="n"/>
      <c r="E2312" s="20" t="n"/>
      <c r="F2312" s="20" t="n"/>
      <c r="G2312" s="19" t="n"/>
      <c r="H2312" s="21">
        <f>IF(A2312="","",YEAR(A2312)*100+MONTH(A2312))</f>
        <v/>
      </c>
    </row>
    <row r="2313">
      <c r="A2313" s="18" t="n"/>
      <c r="B2313" s="19" t="n"/>
      <c r="C2313" s="19" t="n"/>
      <c r="D2313" s="19" t="n"/>
      <c r="E2313" s="20" t="n"/>
      <c r="F2313" s="20" t="n"/>
      <c r="G2313" s="19" t="n"/>
      <c r="H2313" s="21">
        <f>IF(A2313="","",YEAR(A2313)*100+MONTH(A2313))</f>
        <v/>
      </c>
    </row>
    <row r="2314">
      <c r="A2314" s="18" t="n"/>
      <c r="B2314" s="19" t="n"/>
      <c r="C2314" s="19" t="n"/>
      <c r="D2314" s="19" t="n"/>
      <c r="E2314" s="20" t="n"/>
      <c r="F2314" s="20" t="n"/>
      <c r="G2314" s="19" t="n"/>
      <c r="H2314" s="21">
        <f>IF(A2314="","",YEAR(A2314)*100+MONTH(A2314))</f>
        <v/>
      </c>
    </row>
    <row r="2315">
      <c r="A2315" s="18" t="n"/>
      <c r="B2315" s="19" t="n"/>
      <c r="C2315" s="19" t="n"/>
      <c r="D2315" s="19" t="n"/>
      <c r="E2315" s="20" t="n"/>
      <c r="F2315" s="20" t="n"/>
      <c r="G2315" s="19" t="n"/>
      <c r="H2315" s="21">
        <f>IF(A2315="","",YEAR(A2315)*100+MONTH(A2315))</f>
        <v/>
      </c>
    </row>
    <row r="2316">
      <c r="A2316" s="18" t="n"/>
      <c r="B2316" s="19" t="n"/>
      <c r="C2316" s="19" t="n"/>
      <c r="D2316" s="19" t="n"/>
      <c r="E2316" s="20" t="n"/>
      <c r="F2316" s="20" t="n"/>
      <c r="G2316" s="19" t="n"/>
      <c r="H2316" s="21">
        <f>IF(A2316="","",YEAR(A2316)*100+MONTH(A2316))</f>
        <v/>
      </c>
    </row>
    <row r="2317">
      <c r="A2317" s="18" t="n"/>
      <c r="B2317" s="19" t="n"/>
      <c r="C2317" s="19" t="n"/>
      <c r="D2317" s="19" t="n"/>
      <c r="E2317" s="20" t="n"/>
      <c r="F2317" s="20" t="n"/>
      <c r="G2317" s="19" t="n"/>
      <c r="H2317" s="21">
        <f>IF(A2317="","",YEAR(A2317)*100+MONTH(A2317))</f>
        <v/>
      </c>
    </row>
    <row r="2318">
      <c r="A2318" s="18" t="n"/>
      <c r="B2318" s="19" t="n"/>
      <c r="C2318" s="19" t="n"/>
      <c r="D2318" s="19" t="n"/>
      <c r="E2318" s="20" t="n"/>
      <c r="F2318" s="20" t="n"/>
      <c r="G2318" s="19" t="n"/>
      <c r="H2318" s="21">
        <f>IF(A2318="","",YEAR(A2318)*100+MONTH(A2318))</f>
        <v/>
      </c>
    </row>
    <row r="2319">
      <c r="A2319" s="18" t="n"/>
      <c r="B2319" s="19" t="n"/>
      <c r="C2319" s="19" t="n"/>
      <c r="D2319" s="19" t="n"/>
      <c r="E2319" s="20" t="n"/>
      <c r="F2319" s="20" t="n"/>
      <c r="G2319" s="19" t="n"/>
      <c r="H2319" s="21">
        <f>IF(A2319="","",YEAR(A2319)*100+MONTH(A2319))</f>
        <v/>
      </c>
    </row>
    <row r="2320">
      <c r="A2320" s="18" t="n"/>
      <c r="B2320" s="19" t="n"/>
      <c r="C2320" s="19" t="n"/>
      <c r="D2320" s="19" t="n"/>
      <c r="E2320" s="20" t="n"/>
      <c r="F2320" s="20" t="n"/>
      <c r="G2320" s="19" t="n"/>
      <c r="H2320" s="21">
        <f>IF(A2320="","",YEAR(A2320)*100+MONTH(A2320))</f>
        <v/>
      </c>
    </row>
    <row r="2321">
      <c r="A2321" s="18" t="n"/>
      <c r="B2321" s="19" t="n"/>
      <c r="C2321" s="19" t="n"/>
      <c r="D2321" s="19" t="n"/>
      <c r="E2321" s="20" t="n"/>
      <c r="F2321" s="20" t="n"/>
      <c r="G2321" s="19" t="n"/>
      <c r="H2321" s="21">
        <f>IF(A2321="","",YEAR(A2321)*100+MONTH(A2321))</f>
        <v/>
      </c>
    </row>
    <row r="2322">
      <c r="A2322" s="18" t="n"/>
      <c r="B2322" s="19" t="n"/>
      <c r="C2322" s="19" t="n"/>
      <c r="D2322" s="19" t="n"/>
      <c r="E2322" s="20" t="n"/>
      <c r="F2322" s="20" t="n"/>
      <c r="G2322" s="19" t="n"/>
      <c r="H2322" s="21">
        <f>IF(A2322="","",YEAR(A2322)*100+MONTH(A2322))</f>
        <v/>
      </c>
    </row>
    <row r="2323">
      <c r="A2323" s="18" t="n"/>
      <c r="B2323" s="19" t="n"/>
      <c r="C2323" s="19" t="n"/>
      <c r="D2323" s="19" t="n"/>
      <c r="E2323" s="20" t="n"/>
      <c r="F2323" s="20" t="n"/>
      <c r="G2323" s="19" t="n"/>
      <c r="H2323" s="21">
        <f>IF(A2323="","",YEAR(A2323)*100+MONTH(A2323))</f>
        <v/>
      </c>
    </row>
    <row r="2324">
      <c r="A2324" s="18" t="n"/>
      <c r="B2324" s="19" t="n"/>
      <c r="C2324" s="19" t="n"/>
      <c r="D2324" s="19" t="n"/>
      <c r="E2324" s="20" t="n"/>
      <c r="F2324" s="20" t="n"/>
      <c r="G2324" s="19" t="n"/>
      <c r="H2324" s="21">
        <f>IF(A2324="","",YEAR(A2324)*100+MONTH(A2324))</f>
        <v/>
      </c>
    </row>
    <row r="2325">
      <c r="A2325" s="18" t="n"/>
      <c r="B2325" s="19" t="n"/>
      <c r="C2325" s="19" t="n"/>
      <c r="D2325" s="19" t="n"/>
      <c r="E2325" s="20" t="n"/>
      <c r="F2325" s="20" t="n"/>
      <c r="G2325" s="19" t="n"/>
      <c r="H2325" s="21">
        <f>IF(A2325="","",YEAR(A2325)*100+MONTH(A2325))</f>
        <v/>
      </c>
    </row>
    <row r="2326">
      <c r="A2326" s="18" t="n"/>
      <c r="B2326" s="19" t="n"/>
      <c r="C2326" s="19" t="n"/>
      <c r="D2326" s="19" t="n"/>
      <c r="E2326" s="20" t="n"/>
      <c r="F2326" s="20" t="n"/>
      <c r="G2326" s="19" t="n"/>
      <c r="H2326" s="21">
        <f>IF(A2326="","",YEAR(A2326)*100+MONTH(A2326))</f>
        <v/>
      </c>
    </row>
    <row r="2327">
      <c r="A2327" s="18" t="n"/>
      <c r="B2327" s="19" t="n"/>
      <c r="C2327" s="19" t="n"/>
      <c r="D2327" s="19" t="n"/>
      <c r="E2327" s="20" t="n"/>
      <c r="F2327" s="20" t="n"/>
      <c r="G2327" s="19" t="n"/>
      <c r="H2327" s="21">
        <f>IF(A2327="","",YEAR(A2327)*100+MONTH(A2327))</f>
        <v/>
      </c>
    </row>
    <row r="2328">
      <c r="A2328" s="18" t="n"/>
      <c r="B2328" s="19" t="n"/>
      <c r="C2328" s="19" t="n"/>
      <c r="D2328" s="19" t="n"/>
      <c r="E2328" s="20" t="n"/>
      <c r="F2328" s="20" t="n"/>
      <c r="G2328" s="19" t="n"/>
      <c r="H2328" s="21">
        <f>IF(A2328="","",YEAR(A2328)*100+MONTH(A2328))</f>
        <v/>
      </c>
    </row>
    <row r="2329">
      <c r="A2329" s="18" t="n"/>
      <c r="B2329" s="19" t="n"/>
      <c r="C2329" s="19" t="n"/>
      <c r="D2329" s="19" t="n"/>
      <c r="E2329" s="20" t="n"/>
      <c r="F2329" s="20" t="n"/>
      <c r="G2329" s="19" t="n"/>
      <c r="H2329" s="21">
        <f>IF(A2329="","",YEAR(A2329)*100+MONTH(A2329))</f>
        <v/>
      </c>
    </row>
    <row r="2330">
      <c r="A2330" s="18" t="n"/>
      <c r="B2330" s="19" t="n"/>
      <c r="C2330" s="19" t="n"/>
      <c r="D2330" s="19" t="n"/>
      <c r="E2330" s="20" t="n"/>
      <c r="F2330" s="20" t="n"/>
      <c r="G2330" s="19" t="n"/>
      <c r="H2330" s="21">
        <f>IF(A2330="","",YEAR(A2330)*100+MONTH(A2330))</f>
        <v/>
      </c>
    </row>
    <row r="2331">
      <c r="A2331" s="18" t="n"/>
      <c r="B2331" s="19" t="n"/>
      <c r="C2331" s="19" t="n"/>
      <c r="D2331" s="19" t="n"/>
      <c r="E2331" s="20" t="n"/>
      <c r="F2331" s="20" t="n"/>
      <c r="G2331" s="19" t="n"/>
      <c r="H2331" s="21">
        <f>IF(A2331="","",YEAR(A2331)*100+MONTH(A2331))</f>
        <v/>
      </c>
    </row>
    <row r="2332">
      <c r="A2332" s="18" t="n"/>
      <c r="B2332" s="19" t="n"/>
      <c r="C2332" s="19" t="n"/>
      <c r="D2332" s="19" t="n"/>
      <c r="E2332" s="20" t="n"/>
      <c r="F2332" s="20" t="n"/>
      <c r="G2332" s="19" t="n"/>
      <c r="H2332" s="21">
        <f>IF(A2332="","",YEAR(A2332)*100+MONTH(A2332))</f>
        <v/>
      </c>
    </row>
    <row r="2333">
      <c r="A2333" s="18" t="n"/>
      <c r="B2333" s="19" t="n"/>
      <c r="C2333" s="19" t="n"/>
      <c r="D2333" s="19" t="n"/>
      <c r="E2333" s="20" t="n"/>
      <c r="F2333" s="20" t="n"/>
      <c r="G2333" s="19" t="n"/>
      <c r="H2333" s="21">
        <f>IF(A2333="","",YEAR(A2333)*100+MONTH(A2333))</f>
        <v/>
      </c>
    </row>
    <row r="2334">
      <c r="A2334" s="18" t="n"/>
      <c r="B2334" s="19" t="n"/>
      <c r="C2334" s="19" t="n"/>
      <c r="D2334" s="19" t="n"/>
      <c r="E2334" s="20" t="n"/>
      <c r="F2334" s="20" t="n"/>
      <c r="G2334" s="19" t="n"/>
      <c r="H2334" s="21">
        <f>IF(A2334="","",YEAR(A2334)*100+MONTH(A2334))</f>
        <v/>
      </c>
    </row>
    <row r="2335">
      <c r="A2335" s="18" t="n"/>
      <c r="B2335" s="19" t="n"/>
      <c r="C2335" s="19" t="n"/>
      <c r="D2335" s="19" t="n"/>
      <c r="E2335" s="20" t="n"/>
      <c r="F2335" s="20" t="n"/>
      <c r="G2335" s="19" t="n"/>
      <c r="H2335" s="21">
        <f>IF(A2335="","",YEAR(A2335)*100+MONTH(A2335))</f>
        <v/>
      </c>
    </row>
    <row r="2336">
      <c r="A2336" s="18" t="n"/>
      <c r="B2336" s="19" t="n"/>
      <c r="C2336" s="19" t="n"/>
      <c r="D2336" s="19" t="n"/>
      <c r="E2336" s="20" t="n"/>
      <c r="F2336" s="20" t="n"/>
      <c r="G2336" s="19" t="n"/>
      <c r="H2336" s="21">
        <f>IF(A2336="","",YEAR(A2336)*100+MONTH(A2336))</f>
        <v/>
      </c>
    </row>
    <row r="2337">
      <c r="A2337" s="18" t="n"/>
      <c r="B2337" s="19" t="n"/>
      <c r="C2337" s="19" t="n"/>
      <c r="D2337" s="19" t="n"/>
      <c r="E2337" s="20" t="n"/>
      <c r="F2337" s="20" t="n"/>
      <c r="G2337" s="19" t="n"/>
      <c r="H2337" s="21">
        <f>IF(A2337="","",YEAR(A2337)*100+MONTH(A2337))</f>
        <v/>
      </c>
    </row>
    <row r="2338">
      <c r="A2338" s="18" t="n"/>
      <c r="B2338" s="19" t="n"/>
      <c r="C2338" s="19" t="n"/>
      <c r="D2338" s="19" t="n"/>
      <c r="E2338" s="20" t="n"/>
      <c r="F2338" s="20" t="n"/>
      <c r="G2338" s="19" t="n"/>
      <c r="H2338" s="21">
        <f>IF(A2338="","",YEAR(A2338)*100+MONTH(A2338))</f>
        <v/>
      </c>
    </row>
    <row r="2339">
      <c r="A2339" s="18" t="n"/>
      <c r="B2339" s="19" t="n"/>
      <c r="C2339" s="19" t="n"/>
      <c r="D2339" s="19" t="n"/>
      <c r="E2339" s="20" t="n"/>
      <c r="F2339" s="20" t="n"/>
      <c r="G2339" s="19" t="n"/>
      <c r="H2339" s="21">
        <f>IF(A2339="","",YEAR(A2339)*100+MONTH(A2339))</f>
        <v/>
      </c>
    </row>
    <row r="2340">
      <c r="A2340" s="18" t="n"/>
      <c r="B2340" s="19" t="n"/>
      <c r="C2340" s="19" t="n"/>
      <c r="D2340" s="19" t="n"/>
      <c r="E2340" s="20" t="n"/>
      <c r="F2340" s="20" t="n"/>
      <c r="G2340" s="19" t="n"/>
      <c r="H2340" s="21">
        <f>IF(A2340="","",YEAR(A2340)*100+MONTH(A2340))</f>
        <v/>
      </c>
    </row>
    <row r="2341">
      <c r="A2341" s="18" t="n"/>
      <c r="B2341" s="19" t="n"/>
      <c r="C2341" s="19" t="n"/>
      <c r="D2341" s="19" t="n"/>
      <c r="E2341" s="20" t="n"/>
      <c r="F2341" s="20" t="n"/>
      <c r="G2341" s="19" t="n"/>
      <c r="H2341" s="21">
        <f>IF(A2341="","",YEAR(A2341)*100+MONTH(A2341))</f>
        <v/>
      </c>
    </row>
    <row r="2342">
      <c r="A2342" s="18" t="n"/>
      <c r="B2342" s="19" t="n"/>
      <c r="C2342" s="19" t="n"/>
      <c r="D2342" s="19" t="n"/>
      <c r="E2342" s="20" t="n"/>
      <c r="F2342" s="20" t="n"/>
      <c r="G2342" s="19" t="n"/>
      <c r="H2342" s="21">
        <f>IF(A2342="","",YEAR(A2342)*100+MONTH(A2342))</f>
        <v/>
      </c>
    </row>
    <row r="2343">
      <c r="A2343" s="18" t="n"/>
      <c r="B2343" s="19" t="n"/>
      <c r="C2343" s="19" t="n"/>
      <c r="D2343" s="19" t="n"/>
      <c r="E2343" s="20" t="n"/>
      <c r="F2343" s="20" t="n"/>
      <c r="G2343" s="19" t="n"/>
      <c r="H2343" s="21">
        <f>IF(A2343="","",YEAR(A2343)*100+MONTH(A2343))</f>
        <v/>
      </c>
    </row>
    <row r="2344">
      <c r="A2344" s="18" t="n"/>
      <c r="B2344" s="19" t="n"/>
      <c r="C2344" s="19" t="n"/>
      <c r="D2344" s="19" t="n"/>
      <c r="E2344" s="20" t="n"/>
      <c r="F2344" s="20" t="n"/>
      <c r="G2344" s="19" t="n"/>
      <c r="H2344" s="21">
        <f>IF(A2344="","",YEAR(A2344)*100+MONTH(A2344))</f>
        <v/>
      </c>
    </row>
    <row r="2345">
      <c r="A2345" s="18" t="n"/>
      <c r="B2345" s="19" t="n"/>
      <c r="C2345" s="19" t="n"/>
      <c r="D2345" s="19" t="n"/>
      <c r="E2345" s="20" t="n"/>
      <c r="F2345" s="20" t="n"/>
      <c r="G2345" s="19" t="n"/>
      <c r="H2345" s="21">
        <f>IF(A2345="","",YEAR(A2345)*100+MONTH(A2345))</f>
        <v/>
      </c>
    </row>
    <row r="2346">
      <c r="A2346" s="18" t="n"/>
      <c r="B2346" s="19" t="n"/>
      <c r="C2346" s="19" t="n"/>
      <c r="D2346" s="19" t="n"/>
      <c r="E2346" s="20" t="n"/>
      <c r="F2346" s="20" t="n"/>
      <c r="G2346" s="19" t="n"/>
      <c r="H2346" s="21">
        <f>IF(A2346="","",YEAR(A2346)*100+MONTH(A2346))</f>
        <v/>
      </c>
    </row>
    <row r="2347">
      <c r="A2347" s="18" t="n"/>
      <c r="B2347" s="19" t="n"/>
      <c r="C2347" s="19" t="n"/>
      <c r="D2347" s="19" t="n"/>
      <c r="E2347" s="20" t="n"/>
      <c r="F2347" s="20" t="n"/>
      <c r="G2347" s="19" t="n"/>
      <c r="H2347" s="21">
        <f>IF(A2347="","",YEAR(A2347)*100+MONTH(A2347))</f>
        <v/>
      </c>
    </row>
    <row r="2348">
      <c r="A2348" s="18" t="n"/>
      <c r="B2348" s="19" t="n"/>
      <c r="C2348" s="19" t="n"/>
      <c r="D2348" s="19" t="n"/>
      <c r="E2348" s="20" t="n"/>
      <c r="F2348" s="20" t="n"/>
      <c r="G2348" s="19" t="n"/>
      <c r="H2348" s="21">
        <f>IF(A2348="","",YEAR(A2348)*100+MONTH(A2348))</f>
        <v/>
      </c>
    </row>
    <row r="2349">
      <c r="A2349" s="18" t="n"/>
      <c r="B2349" s="19" t="n"/>
      <c r="C2349" s="19" t="n"/>
      <c r="D2349" s="19" t="n"/>
      <c r="E2349" s="20" t="n"/>
      <c r="F2349" s="20" t="n"/>
      <c r="G2349" s="19" t="n"/>
      <c r="H2349" s="21">
        <f>IF(A2349="","",YEAR(A2349)*100+MONTH(A2349))</f>
        <v/>
      </c>
    </row>
    <row r="2350">
      <c r="A2350" s="18" t="n"/>
      <c r="B2350" s="19" t="n"/>
      <c r="C2350" s="19" t="n"/>
      <c r="D2350" s="19" t="n"/>
      <c r="E2350" s="20" t="n"/>
      <c r="F2350" s="20" t="n"/>
      <c r="G2350" s="19" t="n"/>
      <c r="H2350" s="21">
        <f>IF(A2350="","",YEAR(A2350)*100+MONTH(A2350))</f>
        <v/>
      </c>
    </row>
    <row r="2351">
      <c r="A2351" s="18" t="n"/>
      <c r="B2351" s="19" t="n"/>
      <c r="C2351" s="19" t="n"/>
      <c r="D2351" s="19" t="n"/>
      <c r="E2351" s="20" t="n"/>
      <c r="F2351" s="20" t="n"/>
      <c r="G2351" s="19" t="n"/>
      <c r="H2351" s="21">
        <f>IF(A2351="","",YEAR(A2351)*100+MONTH(A2351))</f>
        <v/>
      </c>
    </row>
    <row r="2352">
      <c r="A2352" s="18" t="n"/>
      <c r="B2352" s="19" t="n"/>
      <c r="C2352" s="19" t="n"/>
      <c r="D2352" s="19" t="n"/>
      <c r="E2352" s="20" t="n"/>
      <c r="F2352" s="20" t="n"/>
      <c r="G2352" s="19" t="n"/>
      <c r="H2352" s="21">
        <f>IF(A2352="","",YEAR(A2352)*100+MONTH(A2352))</f>
        <v/>
      </c>
    </row>
    <row r="2353">
      <c r="A2353" s="18" t="n"/>
      <c r="B2353" s="19" t="n"/>
      <c r="C2353" s="19" t="n"/>
      <c r="D2353" s="19" t="n"/>
      <c r="E2353" s="20" t="n"/>
      <c r="F2353" s="20" t="n"/>
      <c r="G2353" s="19" t="n"/>
      <c r="H2353" s="21">
        <f>IF(A2353="","",YEAR(A2353)*100+MONTH(A2353))</f>
        <v/>
      </c>
    </row>
    <row r="2354">
      <c r="A2354" s="18" t="n"/>
      <c r="B2354" s="19" t="n"/>
      <c r="C2354" s="19" t="n"/>
      <c r="D2354" s="19" t="n"/>
      <c r="E2354" s="20" t="n"/>
      <c r="F2354" s="20" t="n"/>
      <c r="G2354" s="19" t="n"/>
      <c r="H2354" s="21">
        <f>IF(A2354="","",YEAR(A2354)*100+MONTH(A2354))</f>
        <v/>
      </c>
    </row>
    <row r="2355">
      <c r="A2355" s="18" t="n"/>
      <c r="B2355" s="19" t="n"/>
      <c r="C2355" s="19" t="n"/>
      <c r="D2355" s="19" t="n"/>
      <c r="E2355" s="20" t="n"/>
      <c r="F2355" s="20" t="n"/>
      <c r="G2355" s="19" t="n"/>
      <c r="H2355" s="21">
        <f>IF(A2355="","",YEAR(A2355)*100+MONTH(A2355))</f>
        <v/>
      </c>
    </row>
    <row r="2356">
      <c r="A2356" s="18" t="n"/>
      <c r="B2356" s="19" t="n"/>
      <c r="C2356" s="19" t="n"/>
      <c r="D2356" s="19" t="n"/>
      <c r="E2356" s="20" t="n"/>
      <c r="F2356" s="20" t="n"/>
      <c r="G2356" s="19" t="n"/>
      <c r="H2356" s="21">
        <f>IF(A2356="","",YEAR(A2356)*100+MONTH(A2356))</f>
        <v/>
      </c>
    </row>
    <row r="2357">
      <c r="A2357" s="18" t="n"/>
      <c r="B2357" s="19" t="n"/>
      <c r="C2357" s="19" t="n"/>
      <c r="D2357" s="19" t="n"/>
      <c r="E2357" s="20" t="n"/>
      <c r="F2357" s="20" t="n"/>
      <c r="G2357" s="19" t="n"/>
      <c r="H2357" s="21">
        <f>IF(A2357="","",YEAR(A2357)*100+MONTH(A2357))</f>
        <v/>
      </c>
    </row>
    <row r="2358">
      <c r="A2358" s="18" t="n"/>
      <c r="B2358" s="19" t="n"/>
      <c r="C2358" s="19" t="n"/>
      <c r="D2358" s="19" t="n"/>
      <c r="E2358" s="20" t="n"/>
      <c r="F2358" s="20" t="n"/>
      <c r="G2358" s="19" t="n"/>
      <c r="H2358" s="21">
        <f>IF(A2358="","",YEAR(A2358)*100+MONTH(A2358))</f>
        <v/>
      </c>
    </row>
    <row r="2359">
      <c r="A2359" s="18" t="n"/>
      <c r="B2359" s="19" t="n"/>
      <c r="C2359" s="19" t="n"/>
      <c r="D2359" s="19" t="n"/>
      <c r="E2359" s="20" t="n"/>
      <c r="F2359" s="20" t="n"/>
      <c r="G2359" s="19" t="n"/>
      <c r="H2359" s="21">
        <f>IF(A2359="","",YEAR(A2359)*100+MONTH(A2359))</f>
        <v/>
      </c>
    </row>
    <row r="2360">
      <c r="A2360" s="18" t="n"/>
      <c r="B2360" s="19" t="n"/>
      <c r="C2360" s="19" t="n"/>
      <c r="D2360" s="19" t="n"/>
      <c r="E2360" s="20" t="n"/>
      <c r="F2360" s="20" t="n"/>
      <c r="G2360" s="19" t="n"/>
      <c r="H2360" s="21">
        <f>IF(A2360="","",YEAR(A2360)*100+MONTH(A2360))</f>
        <v/>
      </c>
    </row>
    <row r="2361">
      <c r="A2361" s="18" t="n"/>
      <c r="B2361" s="19" t="n"/>
      <c r="C2361" s="19" t="n"/>
      <c r="D2361" s="19" t="n"/>
      <c r="E2361" s="20" t="n"/>
      <c r="F2361" s="20" t="n"/>
      <c r="G2361" s="19" t="n"/>
      <c r="H2361" s="21">
        <f>IF(A2361="","",YEAR(A2361)*100+MONTH(A2361))</f>
        <v/>
      </c>
    </row>
    <row r="2362">
      <c r="A2362" s="18" t="n"/>
      <c r="B2362" s="19" t="n"/>
      <c r="C2362" s="19" t="n"/>
      <c r="D2362" s="19" t="n"/>
      <c r="E2362" s="20" t="n"/>
      <c r="F2362" s="20" t="n"/>
      <c r="G2362" s="19" t="n"/>
      <c r="H2362" s="21">
        <f>IF(A2362="","",YEAR(A2362)*100+MONTH(A2362))</f>
        <v/>
      </c>
    </row>
    <row r="2363">
      <c r="A2363" s="18" t="n"/>
      <c r="B2363" s="19" t="n"/>
      <c r="C2363" s="19" t="n"/>
      <c r="D2363" s="19" t="n"/>
      <c r="E2363" s="20" t="n"/>
      <c r="F2363" s="20" t="n"/>
      <c r="G2363" s="19" t="n"/>
      <c r="H2363" s="21">
        <f>IF(A2363="","",YEAR(A2363)*100+MONTH(A2363))</f>
        <v/>
      </c>
    </row>
    <row r="2364">
      <c r="A2364" s="18" t="n"/>
      <c r="B2364" s="19" t="n"/>
      <c r="C2364" s="19" t="n"/>
      <c r="D2364" s="19" t="n"/>
      <c r="E2364" s="20" t="n"/>
      <c r="F2364" s="20" t="n"/>
      <c r="G2364" s="19" t="n"/>
      <c r="H2364" s="21">
        <f>IF(A2364="","",YEAR(A2364)*100+MONTH(A2364))</f>
        <v/>
      </c>
    </row>
    <row r="2365">
      <c r="A2365" s="18" t="n"/>
      <c r="B2365" s="19" t="n"/>
      <c r="C2365" s="19" t="n"/>
      <c r="D2365" s="19" t="n"/>
      <c r="E2365" s="20" t="n"/>
      <c r="F2365" s="20" t="n"/>
      <c r="G2365" s="19" t="n"/>
      <c r="H2365" s="21">
        <f>IF(A2365="","",YEAR(A2365)*100+MONTH(A2365))</f>
        <v/>
      </c>
    </row>
    <row r="2366">
      <c r="A2366" s="18" t="n"/>
      <c r="B2366" s="19" t="n"/>
      <c r="C2366" s="19" t="n"/>
      <c r="D2366" s="19" t="n"/>
      <c r="E2366" s="20" t="n"/>
      <c r="F2366" s="20" t="n"/>
      <c r="G2366" s="19" t="n"/>
      <c r="H2366" s="21">
        <f>IF(A2366="","",YEAR(A2366)*100+MONTH(A2366))</f>
        <v/>
      </c>
    </row>
    <row r="2367">
      <c r="A2367" s="18" t="n"/>
      <c r="B2367" s="19" t="n"/>
      <c r="C2367" s="19" t="n"/>
      <c r="D2367" s="19" t="n"/>
      <c r="E2367" s="20" t="n"/>
      <c r="F2367" s="20" t="n"/>
      <c r="G2367" s="19" t="n"/>
      <c r="H2367" s="21">
        <f>IF(A2367="","",YEAR(A2367)*100+MONTH(A2367))</f>
        <v/>
      </c>
    </row>
    <row r="2368">
      <c r="A2368" s="18" t="n"/>
      <c r="B2368" s="19" t="n"/>
      <c r="C2368" s="19" t="n"/>
      <c r="D2368" s="19" t="n"/>
      <c r="E2368" s="20" t="n"/>
      <c r="F2368" s="20" t="n"/>
      <c r="G2368" s="19" t="n"/>
      <c r="H2368" s="21">
        <f>IF(A2368="","",YEAR(A2368)*100+MONTH(A2368))</f>
        <v/>
      </c>
    </row>
    <row r="2369">
      <c r="A2369" s="18" t="n"/>
      <c r="B2369" s="19" t="n"/>
      <c r="C2369" s="19" t="n"/>
      <c r="D2369" s="19" t="n"/>
      <c r="E2369" s="20" t="n"/>
      <c r="F2369" s="20" t="n"/>
      <c r="G2369" s="19" t="n"/>
      <c r="H2369" s="21">
        <f>IF(A2369="","",YEAR(A2369)*100+MONTH(A2369))</f>
        <v/>
      </c>
    </row>
    <row r="2370">
      <c r="A2370" s="18" t="n"/>
      <c r="B2370" s="19" t="n"/>
      <c r="C2370" s="19" t="n"/>
      <c r="D2370" s="19" t="n"/>
      <c r="E2370" s="20" t="n"/>
      <c r="F2370" s="20" t="n"/>
      <c r="G2370" s="19" t="n"/>
      <c r="H2370" s="21">
        <f>IF(A2370="","",YEAR(A2370)*100+MONTH(A2370))</f>
        <v/>
      </c>
    </row>
    <row r="2371">
      <c r="A2371" s="18" t="n"/>
      <c r="B2371" s="19" t="n"/>
      <c r="C2371" s="19" t="n"/>
      <c r="D2371" s="19" t="n"/>
      <c r="E2371" s="20" t="n"/>
      <c r="F2371" s="20" t="n"/>
      <c r="G2371" s="19" t="n"/>
      <c r="H2371" s="21">
        <f>IF(A2371="","",YEAR(A2371)*100+MONTH(A2371))</f>
        <v/>
      </c>
    </row>
    <row r="2372">
      <c r="A2372" s="18" t="n"/>
      <c r="B2372" s="19" t="n"/>
      <c r="C2372" s="19" t="n"/>
      <c r="D2372" s="19" t="n"/>
      <c r="E2372" s="20" t="n"/>
      <c r="F2372" s="20" t="n"/>
      <c r="G2372" s="19" t="n"/>
      <c r="H2372" s="21">
        <f>IF(A2372="","",YEAR(A2372)*100+MONTH(A2372))</f>
        <v/>
      </c>
    </row>
    <row r="2373">
      <c r="A2373" s="18" t="n"/>
      <c r="B2373" s="19" t="n"/>
      <c r="C2373" s="19" t="n"/>
      <c r="D2373" s="19" t="n"/>
      <c r="E2373" s="20" t="n"/>
      <c r="F2373" s="20" t="n"/>
      <c r="G2373" s="19" t="n"/>
      <c r="H2373" s="21">
        <f>IF(A2373="","",YEAR(A2373)*100+MONTH(A2373))</f>
        <v/>
      </c>
    </row>
    <row r="2374">
      <c r="A2374" s="18" t="n"/>
      <c r="B2374" s="19" t="n"/>
      <c r="C2374" s="19" t="n"/>
      <c r="D2374" s="19" t="n"/>
      <c r="E2374" s="20" t="n"/>
      <c r="F2374" s="20" t="n"/>
      <c r="G2374" s="19" t="n"/>
      <c r="H2374" s="21">
        <f>IF(A2374="","",YEAR(A2374)*100+MONTH(A2374))</f>
        <v/>
      </c>
    </row>
    <row r="2375">
      <c r="A2375" s="18" t="n"/>
      <c r="B2375" s="19" t="n"/>
      <c r="C2375" s="19" t="n"/>
      <c r="D2375" s="19" t="n"/>
      <c r="E2375" s="20" t="n"/>
      <c r="F2375" s="20" t="n"/>
      <c r="G2375" s="19" t="n"/>
      <c r="H2375" s="21">
        <f>IF(A2375="","",YEAR(A2375)*100+MONTH(A2375))</f>
        <v/>
      </c>
    </row>
    <row r="2376">
      <c r="A2376" s="18" t="n"/>
      <c r="B2376" s="19" t="n"/>
      <c r="C2376" s="19" t="n"/>
      <c r="D2376" s="19" t="n"/>
      <c r="E2376" s="20" t="n"/>
      <c r="F2376" s="20" t="n"/>
      <c r="G2376" s="19" t="n"/>
      <c r="H2376" s="21">
        <f>IF(A2376="","",YEAR(A2376)*100+MONTH(A2376))</f>
        <v/>
      </c>
    </row>
    <row r="2377">
      <c r="A2377" s="18" t="n"/>
      <c r="B2377" s="19" t="n"/>
      <c r="C2377" s="19" t="n"/>
      <c r="D2377" s="19" t="n"/>
      <c r="E2377" s="20" t="n"/>
      <c r="F2377" s="20" t="n"/>
      <c r="G2377" s="19" t="n"/>
      <c r="H2377" s="21">
        <f>IF(A2377="","",YEAR(A2377)*100+MONTH(A2377))</f>
        <v/>
      </c>
    </row>
    <row r="2378">
      <c r="A2378" s="18" t="n"/>
      <c r="B2378" s="19" t="n"/>
      <c r="C2378" s="19" t="n"/>
      <c r="D2378" s="19" t="n"/>
      <c r="E2378" s="20" t="n"/>
      <c r="F2378" s="20" t="n"/>
      <c r="G2378" s="19" t="n"/>
      <c r="H2378" s="21">
        <f>IF(A2378="","",YEAR(A2378)*100+MONTH(A2378))</f>
        <v/>
      </c>
    </row>
    <row r="2379">
      <c r="A2379" s="18" t="n"/>
      <c r="B2379" s="19" t="n"/>
      <c r="C2379" s="19" t="n"/>
      <c r="D2379" s="19" t="n"/>
      <c r="E2379" s="20" t="n"/>
      <c r="F2379" s="20" t="n"/>
      <c r="G2379" s="19" t="n"/>
      <c r="H2379" s="21">
        <f>IF(A2379="","",YEAR(A2379)*100+MONTH(A2379))</f>
        <v/>
      </c>
    </row>
    <row r="2380">
      <c r="A2380" s="18" t="n"/>
      <c r="B2380" s="19" t="n"/>
      <c r="C2380" s="19" t="n"/>
      <c r="D2380" s="19" t="n"/>
      <c r="E2380" s="20" t="n"/>
      <c r="F2380" s="20" t="n"/>
      <c r="G2380" s="19" t="n"/>
      <c r="H2380" s="21">
        <f>IF(A2380="","",YEAR(A2380)*100+MONTH(A2380))</f>
        <v/>
      </c>
    </row>
    <row r="2381">
      <c r="A2381" s="18" t="n"/>
      <c r="B2381" s="19" t="n"/>
      <c r="C2381" s="19" t="n"/>
      <c r="D2381" s="19" t="n"/>
      <c r="E2381" s="20" t="n"/>
      <c r="F2381" s="20" t="n"/>
      <c r="G2381" s="19" t="n"/>
      <c r="H2381" s="21">
        <f>IF(A2381="","",YEAR(A2381)*100+MONTH(A2381))</f>
        <v/>
      </c>
    </row>
    <row r="2382">
      <c r="A2382" s="18" t="n"/>
      <c r="B2382" s="19" t="n"/>
      <c r="C2382" s="19" t="n"/>
      <c r="D2382" s="19" t="n"/>
      <c r="E2382" s="20" t="n"/>
      <c r="F2382" s="20" t="n"/>
      <c r="G2382" s="19" t="n"/>
      <c r="H2382" s="21">
        <f>IF(A2382="","",YEAR(A2382)*100+MONTH(A2382))</f>
        <v/>
      </c>
    </row>
    <row r="2383">
      <c r="A2383" s="18" t="n"/>
      <c r="B2383" s="19" t="n"/>
      <c r="C2383" s="19" t="n"/>
      <c r="D2383" s="19" t="n"/>
      <c r="E2383" s="20" t="n"/>
      <c r="F2383" s="20" t="n"/>
      <c r="G2383" s="19" t="n"/>
      <c r="H2383" s="21">
        <f>IF(A2383="","",YEAR(A2383)*100+MONTH(A2383))</f>
        <v/>
      </c>
    </row>
    <row r="2384">
      <c r="A2384" s="18" t="n"/>
      <c r="B2384" s="19" t="n"/>
      <c r="C2384" s="19" t="n"/>
      <c r="D2384" s="19" t="n"/>
      <c r="E2384" s="20" t="n"/>
      <c r="F2384" s="20" t="n"/>
      <c r="G2384" s="19" t="n"/>
      <c r="H2384" s="21">
        <f>IF(A2384="","",YEAR(A2384)*100+MONTH(A2384))</f>
        <v/>
      </c>
    </row>
    <row r="2385">
      <c r="A2385" s="18" t="n"/>
      <c r="B2385" s="19" t="n"/>
      <c r="C2385" s="19" t="n"/>
      <c r="D2385" s="19" t="n"/>
      <c r="E2385" s="20" t="n"/>
      <c r="F2385" s="20" t="n"/>
      <c r="G2385" s="19" t="n"/>
      <c r="H2385" s="21">
        <f>IF(A2385="","",YEAR(A2385)*100+MONTH(A2385))</f>
        <v/>
      </c>
    </row>
    <row r="2386">
      <c r="A2386" s="18" t="n"/>
      <c r="B2386" s="19" t="n"/>
      <c r="C2386" s="19" t="n"/>
      <c r="D2386" s="19" t="n"/>
      <c r="E2386" s="20" t="n"/>
      <c r="F2386" s="20" t="n"/>
      <c r="G2386" s="19" t="n"/>
      <c r="H2386" s="21">
        <f>IF(A2386="","",YEAR(A2386)*100+MONTH(A2386))</f>
        <v/>
      </c>
    </row>
    <row r="2387">
      <c r="A2387" s="18" t="n"/>
      <c r="B2387" s="19" t="n"/>
      <c r="C2387" s="19" t="n"/>
      <c r="D2387" s="19" t="n"/>
      <c r="E2387" s="20" t="n"/>
      <c r="F2387" s="20" t="n"/>
      <c r="G2387" s="19" t="n"/>
      <c r="H2387" s="21">
        <f>IF(A2387="","",YEAR(A2387)*100+MONTH(A2387))</f>
        <v/>
      </c>
    </row>
    <row r="2388">
      <c r="A2388" s="18" t="n"/>
      <c r="B2388" s="19" t="n"/>
      <c r="C2388" s="19" t="n"/>
      <c r="D2388" s="19" t="n"/>
      <c r="E2388" s="20" t="n"/>
      <c r="F2388" s="20" t="n"/>
      <c r="G2388" s="19" t="n"/>
      <c r="H2388" s="21">
        <f>IF(A2388="","",YEAR(A2388)*100+MONTH(A2388))</f>
        <v/>
      </c>
    </row>
    <row r="2389">
      <c r="A2389" s="18" t="n"/>
      <c r="B2389" s="19" t="n"/>
      <c r="C2389" s="19" t="n"/>
      <c r="D2389" s="19" t="n"/>
      <c r="E2389" s="20" t="n"/>
      <c r="F2389" s="20" t="n"/>
      <c r="G2389" s="19" t="n"/>
      <c r="H2389" s="21">
        <f>IF(A2389="","",YEAR(A2389)*100+MONTH(A2389))</f>
        <v/>
      </c>
    </row>
    <row r="2390">
      <c r="A2390" s="18" t="n"/>
      <c r="B2390" s="19" t="n"/>
      <c r="C2390" s="19" t="n"/>
      <c r="D2390" s="19" t="n"/>
      <c r="E2390" s="20" t="n"/>
      <c r="F2390" s="20" t="n"/>
      <c r="G2390" s="19" t="n"/>
      <c r="H2390" s="21">
        <f>IF(A2390="","",YEAR(A2390)*100+MONTH(A2390))</f>
        <v/>
      </c>
    </row>
    <row r="2391">
      <c r="A2391" s="18" t="n"/>
      <c r="B2391" s="19" t="n"/>
      <c r="C2391" s="19" t="n"/>
      <c r="D2391" s="19" t="n"/>
      <c r="E2391" s="20" t="n"/>
      <c r="F2391" s="20" t="n"/>
      <c r="G2391" s="19" t="n"/>
      <c r="H2391" s="21">
        <f>IF(A2391="","",YEAR(A2391)*100+MONTH(A2391))</f>
        <v/>
      </c>
    </row>
    <row r="2392">
      <c r="A2392" s="18" t="n"/>
      <c r="B2392" s="19" t="n"/>
      <c r="C2392" s="19" t="n"/>
      <c r="D2392" s="19" t="n"/>
      <c r="E2392" s="20" t="n"/>
      <c r="F2392" s="20" t="n"/>
      <c r="G2392" s="19" t="n"/>
      <c r="H2392" s="21">
        <f>IF(A2392="","",YEAR(A2392)*100+MONTH(A2392))</f>
        <v/>
      </c>
    </row>
    <row r="2393">
      <c r="A2393" s="18" t="n"/>
      <c r="B2393" s="19" t="n"/>
      <c r="C2393" s="19" t="n"/>
      <c r="D2393" s="19" t="n"/>
      <c r="E2393" s="20" t="n"/>
      <c r="F2393" s="20" t="n"/>
      <c r="G2393" s="19" t="n"/>
      <c r="H2393" s="21">
        <f>IF(A2393="","",YEAR(A2393)*100+MONTH(A2393))</f>
        <v/>
      </c>
    </row>
    <row r="2394">
      <c r="A2394" s="18" t="n"/>
      <c r="B2394" s="19" t="n"/>
      <c r="C2394" s="19" t="n"/>
      <c r="D2394" s="19" t="n"/>
      <c r="E2394" s="20" t="n"/>
      <c r="F2394" s="20" t="n"/>
      <c r="G2394" s="19" t="n"/>
      <c r="H2394" s="21">
        <f>IF(A2394="","",YEAR(A2394)*100+MONTH(A2394))</f>
        <v/>
      </c>
    </row>
    <row r="2395">
      <c r="A2395" s="18" t="n"/>
      <c r="B2395" s="19" t="n"/>
      <c r="C2395" s="19" t="n"/>
      <c r="D2395" s="19" t="n"/>
      <c r="E2395" s="20" t="n"/>
      <c r="F2395" s="20" t="n"/>
      <c r="G2395" s="19" t="n"/>
      <c r="H2395" s="21">
        <f>IF(A2395="","",YEAR(A2395)*100+MONTH(A2395))</f>
        <v/>
      </c>
    </row>
    <row r="2396">
      <c r="A2396" s="18" t="n"/>
      <c r="B2396" s="19" t="n"/>
      <c r="C2396" s="19" t="n"/>
      <c r="D2396" s="19" t="n"/>
      <c r="E2396" s="20" t="n"/>
      <c r="F2396" s="20" t="n"/>
      <c r="G2396" s="19" t="n"/>
      <c r="H2396" s="21">
        <f>IF(A2396="","",YEAR(A2396)*100+MONTH(A2396))</f>
        <v/>
      </c>
    </row>
    <row r="2397">
      <c r="A2397" s="18" t="n"/>
      <c r="B2397" s="19" t="n"/>
      <c r="C2397" s="19" t="n"/>
      <c r="D2397" s="19" t="n"/>
      <c r="E2397" s="20" t="n"/>
      <c r="F2397" s="20" t="n"/>
      <c r="G2397" s="19" t="n"/>
      <c r="H2397" s="21">
        <f>IF(A2397="","",YEAR(A2397)*100+MONTH(A2397))</f>
        <v/>
      </c>
    </row>
    <row r="2398">
      <c r="A2398" s="18" t="n"/>
      <c r="B2398" s="19" t="n"/>
      <c r="C2398" s="19" t="n"/>
      <c r="D2398" s="19" t="n"/>
      <c r="E2398" s="20" t="n"/>
      <c r="F2398" s="20" t="n"/>
      <c r="G2398" s="19" t="n"/>
      <c r="H2398" s="21">
        <f>IF(A2398="","",YEAR(A2398)*100+MONTH(A2398))</f>
        <v/>
      </c>
    </row>
    <row r="2399">
      <c r="A2399" s="18" t="n"/>
      <c r="B2399" s="19" t="n"/>
      <c r="C2399" s="19" t="n"/>
      <c r="D2399" s="19" t="n"/>
      <c r="E2399" s="20" t="n"/>
      <c r="F2399" s="20" t="n"/>
      <c r="G2399" s="19" t="n"/>
      <c r="H2399" s="21">
        <f>IF(A2399="","",YEAR(A2399)*100+MONTH(A2399))</f>
        <v/>
      </c>
    </row>
    <row r="2400">
      <c r="A2400" s="18" t="n"/>
      <c r="B2400" s="19" t="n"/>
      <c r="C2400" s="19" t="n"/>
      <c r="D2400" s="19" t="n"/>
      <c r="E2400" s="20" t="n"/>
      <c r="F2400" s="20" t="n"/>
      <c r="G2400" s="19" t="n"/>
      <c r="H2400" s="21">
        <f>IF(A2400="","",YEAR(A2400)*100+MONTH(A2400))</f>
        <v/>
      </c>
    </row>
    <row r="2401">
      <c r="A2401" s="18" t="n"/>
      <c r="B2401" s="19" t="n"/>
      <c r="C2401" s="19" t="n"/>
      <c r="D2401" s="19" t="n"/>
      <c r="E2401" s="20" t="n"/>
      <c r="F2401" s="20" t="n"/>
      <c r="G2401" s="19" t="n"/>
      <c r="H2401" s="21">
        <f>IF(A2401="","",YEAR(A2401)*100+MONTH(A2401))</f>
        <v/>
      </c>
    </row>
    <row r="2402">
      <c r="A2402" s="18" t="n"/>
      <c r="B2402" s="19" t="n"/>
      <c r="C2402" s="19" t="n"/>
      <c r="D2402" s="19" t="n"/>
      <c r="E2402" s="20" t="n"/>
      <c r="F2402" s="20" t="n"/>
      <c r="G2402" s="19" t="n"/>
      <c r="H2402" s="21">
        <f>IF(A2402="","",YEAR(A2402)*100+MONTH(A2402))</f>
        <v/>
      </c>
    </row>
    <row r="2403">
      <c r="A2403" s="18" t="n"/>
      <c r="B2403" s="19" t="n"/>
      <c r="C2403" s="19" t="n"/>
      <c r="D2403" s="19" t="n"/>
      <c r="E2403" s="20" t="n"/>
      <c r="F2403" s="20" t="n"/>
      <c r="G2403" s="19" t="n"/>
      <c r="H2403" s="21">
        <f>IF(A2403="","",YEAR(A2403)*100+MONTH(A2403))</f>
        <v/>
      </c>
    </row>
    <row r="2404">
      <c r="A2404" s="18" t="n"/>
      <c r="B2404" s="19" t="n"/>
      <c r="C2404" s="19" t="n"/>
      <c r="D2404" s="19" t="n"/>
      <c r="E2404" s="20" t="n"/>
      <c r="F2404" s="20" t="n"/>
      <c r="G2404" s="19" t="n"/>
      <c r="H2404" s="21">
        <f>IF(A2404="","",YEAR(A2404)*100+MONTH(A2404))</f>
        <v/>
      </c>
    </row>
    <row r="2405">
      <c r="A2405" s="18" t="n"/>
      <c r="B2405" s="19" t="n"/>
      <c r="C2405" s="19" t="n"/>
      <c r="D2405" s="19" t="n"/>
      <c r="E2405" s="20" t="n"/>
      <c r="F2405" s="20" t="n"/>
      <c r="G2405" s="19" t="n"/>
      <c r="H2405" s="21">
        <f>IF(A2405="","",YEAR(A2405)*100+MONTH(A2405))</f>
        <v/>
      </c>
    </row>
    <row r="2406">
      <c r="A2406" s="18" t="n"/>
      <c r="B2406" s="19" t="n"/>
      <c r="C2406" s="19" t="n"/>
      <c r="D2406" s="19" t="n"/>
      <c r="E2406" s="20" t="n"/>
      <c r="F2406" s="20" t="n"/>
      <c r="G2406" s="19" t="n"/>
      <c r="H2406" s="21">
        <f>IF(A2406="","",YEAR(A2406)*100+MONTH(A2406))</f>
        <v/>
      </c>
    </row>
    <row r="2407">
      <c r="A2407" s="18" t="n"/>
      <c r="B2407" s="19" t="n"/>
      <c r="C2407" s="19" t="n"/>
      <c r="D2407" s="19" t="n"/>
      <c r="E2407" s="20" t="n"/>
      <c r="F2407" s="20" t="n"/>
      <c r="G2407" s="19" t="n"/>
      <c r="H2407" s="21">
        <f>IF(A2407="","",YEAR(A2407)*100+MONTH(A2407))</f>
        <v/>
      </c>
    </row>
    <row r="2408">
      <c r="A2408" s="18" t="n"/>
      <c r="B2408" s="19" t="n"/>
      <c r="C2408" s="19" t="n"/>
      <c r="D2408" s="19" t="n"/>
      <c r="E2408" s="20" t="n"/>
      <c r="F2408" s="20" t="n"/>
      <c r="G2408" s="19" t="n"/>
      <c r="H2408" s="21">
        <f>IF(A2408="","",YEAR(A2408)*100+MONTH(A2408))</f>
        <v/>
      </c>
    </row>
    <row r="2409">
      <c r="A2409" s="18" t="n"/>
      <c r="B2409" s="19" t="n"/>
      <c r="C2409" s="19" t="n"/>
      <c r="D2409" s="19" t="n"/>
      <c r="E2409" s="20" t="n"/>
      <c r="F2409" s="20" t="n"/>
      <c r="G2409" s="19" t="n"/>
      <c r="H2409" s="21">
        <f>IF(A2409="","",YEAR(A2409)*100+MONTH(A2409))</f>
        <v/>
      </c>
    </row>
    <row r="2410">
      <c r="A2410" s="18" t="n"/>
      <c r="B2410" s="19" t="n"/>
      <c r="C2410" s="19" t="n"/>
      <c r="D2410" s="19" t="n"/>
      <c r="E2410" s="20" t="n"/>
      <c r="F2410" s="20" t="n"/>
      <c r="G2410" s="19" t="n"/>
      <c r="H2410" s="21">
        <f>IF(A2410="","",YEAR(A2410)*100+MONTH(A2410))</f>
        <v/>
      </c>
    </row>
    <row r="2411">
      <c r="A2411" s="18" t="n"/>
      <c r="B2411" s="19" t="n"/>
      <c r="C2411" s="19" t="n"/>
      <c r="D2411" s="19" t="n"/>
      <c r="E2411" s="20" t="n"/>
      <c r="F2411" s="20" t="n"/>
      <c r="G2411" s="19" t="n"/>
      <c r="H2411" s="21">
        <f>IF(A2411="","",YEAR(A2411)*100+MONTH(A2411))</f>
        <v/>
      </c>
    </row>
    <row r="2412">
      <c r="A2412" s="18" t="n"/>
      <c r="B2412" s="19" t="n"/>
      <c r="C2412" s="19" t="n"/>
      <c r="D2412" s="19" t="n"/>
      <c r="E2412" s="20" t="n"/>
      <c r="F2412" s="20" t="n"/>
      <c r="G2412" s="19" t="n"/>
      <c r="H2412" s="21">
        <f>IF(A2412="","",YEAR(A2412)*100+MONTH(A2412))</f>
        <v/>
      </c>
    </row>
    <row r="2413">
      <c r="A2413" s="18" t="n"/>
      <c r="B2413" s="19" t="n"/>
      <c r="C2413" s="19" t="n"/>
      <c r="D2413" s="19" t="n"/>
      <c r="E2413" s="20" t="n"/>
      <c r="F2413" s="20" t="n"/>
      <c r="G2413" s="19" t="n"/>
      <c r="H2413" s="21">
        <f>IF(A2413="","",YEAR(A2413)*100+MONTH(A2413))</f>
        <v/>
      </c>
    </row>
    <row r="2414">
      <c r="A2414" s="18" t="n"/>
      <c r="B2414" s="19" t="n"/>
      <c r="C2414" s="19" t="n"/>
      <c r="D2414" s="19" t="n"/>
      <c r="E2414" s="20" t="n"/>
      <c r="F2414" s="20" t="n"/>
      <c r="G2414" s="19" t="n"/>
      <c r="H2414" s="21">
        <f>IF(A2414="","",YEAR(A2414)*100+MONTH(A2414))</f>
        <v/>
      </c>
    </row>
    <row r="2415">
      <c r="A2415" s="18" t="n"/>
      <c r="B2415" s="19" t="n"/>
      <c r="C2415" s="19" t="n"/>
      <c r="D2415" s="19" t="n"/>
      <c r="E2415" s="20" t="n"/>
      <c r="F2415" s="20" t="n"/>
      <c r="G2415" s="19" t="n"/>
      <c r="H2415" s="21">
        <f>IF(A2415="","",YEAR(A2415)*100+MONTH(A2415))</f>
        <v/>
      </c>
    </row>
    <row r="2416">
      <c r="A2416" s="18" t="n"/>
      <c r="B2416" s="19" t="n"/>
      <c r="C2416" s="19" t="n"/>
      <c r="D2416" s="19" t="n"/>
      <c r="E2416" s="20" t="n"/>
      <c r="F2416" s="20" t="n"/>
      <c r="G2416" s="19" t="n"/>
      <c r="H2416" s="21">
        <f>IF(A2416="","",YEAR(A2416)*100+MONTH(A2416))</f>
        <v/>
      </c>
    </row>
    <row r="2417">
      <c r="A2417" s="18" t="n"/>
      <c r="B2417" s="19" t="n"/>
      <c r="C2417" s="19" t="n"/>
      <c r="D2417" s="19" t="n"/>
      <c r="E2417" s="20" t="n"/>
      <c r="F2417" s="20" t="n"/>
      <c r="G2417" s="19" t="n"/>
      <c r="H2417" s="21">
        <f>IF(A2417="","",YEAR(A2417)*100+MONTH(A2417))</f>
        <v/>
      </c>
    </row>
    <row r="2418">
      <c r="A2418" s="18" t="n"/>
      <c r="B2418" s="19" t="n"/>
      <c r="C2418" s="19" t="n"/>
      <c r="D2418" s="19" t="n"/>
      <c r="E2418" s="20" t="n"/>
      <c r="F2418" s="20" t="n"/>
      <c r="G2418" s="19" t="n"/>
      <c r="H2418" s="21">
        <f>IF(A2418="","",YEAR(A2418)*100+MONTH(A2418))</f>
        <v/>
      </c>
    </row>
    <row r="2419">
      <c r="A2419" s="18" t="n"/>
      <c r="B2419" s="19" t="n"/>
      <c r="C2419" s="19" t="n"/>
      <c r="D2419" s="19" t="n"/>
      <c r="E2419" s="20" t="n"/>
      <c r="F2419" s="20" t="n"/>
      <c r="G2419" s="19" t="n"/>
      <c r="H2419" s="21">
        <f>IF(A2419="","",YEAR(A2419)*100+MONTH(A2419))</f>
        <v/>
      </c>
    </row>
    <row r="2420">
      <c r="A2420" s="18" t="n"/>
      <c r="B2420" s="19" t="n"/>
      <c r="C2420" s="19" t="n"/>
      <c r="D2420" s="19" t="n"/>
      <c r="E2420" s="20" t="n"/>
      <c r="F2420" s="20" t="n"/>
      <c r="G2420" s="19" t="n"/>
      <c r="H2420" s="21">
        <f>IF(A2420="","",YEAR(A2420)*100+MONTH(A2420))</f>
        <v/>
      </c>
    </row>
    <row r="2421">
      <c r="A2421" s="18" t="n"/>
      <c r="B2421" s="19" t="n"/>
      <c r="C2421" s="19" t="n"/>
      <c r="D2421" s="19" t="n"/>
      <c r="E2421" s="20" t="n"/>
      <c r="F2421" s="20" t="n"/>
      <c r="G2421" s="19" t="n"/>
      <c r="H2421" s="21">
        <f>IF(A2421="","",YEAR(A2421)*100+MONTH(A2421))</f>
        <v/>
      </c>
    </row>
    <row r="2422">
      <c r="A2422" s="18" t="n"/>
      <c r="B2422" s="19" t="n"/>
      <c r="C2422" s="19" t="n"/>
      <c r="D2422" s="19" t="n"/>
      <c r="E2422" s="20" t="n"/>
      <c r="F2422" s="20" t="n"/>
      <c r="G2422" s="19" t="n"/>
      <c r="H2422" s="21">
        <f>IF(A2422="","",YEAR(A2422)*100+MONTH(A2422))</f>
        <v/>
      </c>
    </row>
    <row r="2423">
      <c r="A2423" s="18" t="n"/>
      <c r="B2423" s="19" t="n"/>
      <c r="C2423" s="19" t="n"/>
      <c r="D2423" s="19" t="n"/>
      <c r="E2423" s="20" t="n"/>
      <c r="F2423" s="20" t="n"/>
      <c r="G2423" s="19" t="n"/>
      <c r="H2423" s="21">
        <f>IF(A2423="","",YEAR(A2423)*100+MONTH(A2423))</f>
        <v/>
      </c>
    </row>
    <row r="2424">
      <c r="A2424" s="18" t="n"/>
      <c r="B2424" s="19" t="n"/>
      <c r="C2424" s="19" t="n"/>
      <c r="D2424" s="19" t="n"/>
      <c r="E2424" s="20" t="n"/>
      <c r="F2424" s="20" t="n"/>
      <c r="G2424" s="19" t="n"/>
      <c r="H2424" s="21">
        <f>IF(A2424="","",YEAR(A2424)*100+MONTH(A2424))</f>
        <v/>
      </c>
    </row>
    <row r="2425">
      <c r="A2425" s="18" t="n"/>
      <c r="B2425" s="19" t="n"/>
      <c r="C2425" s="19" t="n"/>
      <c r="D2425" s="19" t="n"/>
      <c r="E2425" s="20" t="n"/>
      <c r="F2425" s="20" t="n"/>
      <c r="G2425" s="19" t="n"/>
      <c r="H2425" s="21">
        <f>IF(A2425="","",YEAR(A2425)*100+MONTH(A2425))</f>
        <v/>
      </c>
    </row>
    <row r="2426">
      <c r="A2426" s="18" t="n"/>
      <c r="B2426" s="19" t="n"/>
      <c r="C2426" s="19" t="n"/>
      <c r="D2426" s="19" t="n"/>
      <c r="E2426" s="20" t="n"/>
      <c r="F2426" s="20" t="n"/>
      <c r="G2426" s="19" t="n"/>
      <c r="H2426" s="21">
        <f>IF(A2426="","",YEAR(A2426)*100+MONTH(A2426))</f>
        <v/>
      </c>
    </row>
    <row r="2427">
      <c r="A2427" s="18" t="n"/>
      <c r="B2427" s="19" t="n"/>
      <c r="C2427" s="19" t="n"/>
      <c r="D2427" s="19" t="n"/>
      <c r="E2427" s="20" t="n"/>
      <c r="F2427" s="20" t="n"/>
      <c r="G2427" s="19" t="n"/>
      <c r="H2427" s="21">
        <f>IF(A2427="","",YEAR(A2427)*100+MONTH(A2427))</f>
        <v/>
      </c>
    </row>
    <row r="2428">
      <c r="A2428" s="18" t="n"/>
      <c r="B2428" s="19" t="n"/>
      <c r="C2428" s="19" t="n"/>
      <c r="D2428" s="19" t="n"/>
      <c r="E2428" s="20" t="n"/>
      <c r="F2428" s="20" t="n"/>
      <c r="G2428" s="19" t="n"/>
      <c r="H2428" s="21">
        <f>IF(A2428="","",YEAR(A2428)*100+MONTH(A2428))</f>
        <v/>
      </c>
    </row>
    <row r="2429">
      <c r="A2429" s="18" t="n"/>
      <c r="B2429" s="19" t="n"/>
      <c r="C2429" s="19" t="n"/>
      <c r="D2429" s="19" t="n"/>
      <c r="E2429" s="20" t="n"/>
      <c r="F2429" s="20" t="n"/>
      <c r="G2429" s="19" t="n"/>
      <c r="H2429" s="21">
        <f>IF(A2429="","",YEAR(A2429)*100+MONTH(A2429))</f>
        <v/>
      </c>
    </row>
    <row r="2430">
      <c r="A2430" s="18" t="n"/>
      <c r="B2430" s="19" t="n"/>
      <c r="C2430" s="19" t="n"/>
      <c r="D2430" s="19" t="n"/>
      <c r="E2430" s="20" t="n"/>
      <c r="F2430" s="20" t="n"/>
      <c r="G2430" s="19" t="n"/>
      <c r="H2430" s="21">
        <f>IF(A2430="","",YEAR(A2430)*100+MONTH(A2430))</f>
        <v/>
      </c>
    </row>
    <row r="2431">
      <c r="A2431" s="18" t="n"/>
      <c r="B2431" s="19" t="n"/>
      <c r="C2431" s="19" t="n"/>
      <c r="D2431" s="19" t="n"/>
      <c r="E2431" s="20" t="n"/>
      <c r="F2431" s="20" t="n"/>
      <c r="G2431" s="19" t="n"/>
      <c r="H2431" s="21">
        <f>IF(A2431="","",YEAR(A2431)*100+MONTH(A2431))</f>
        <v/>
      </c>
    </row>
    <row r="2432">
      <c r="A2432" s="18" t="n"/>
      <c r="B2432" s="19" t="n"/>
      <c r="C2432" s="19" t="n"/>
      <c r="D2432" s="19" t="n"/>
      <c r="E2432" s="20" t="n"/>
      <c r="F2432" s="20" t="n"/>
      <c r="G2432" s="19" t="n"/>
      <c r="H2432" s="21">
        <f>IF(A2432="","",YEAR(A2432)*100+MONTH(A2432))</f>
        <v/>
      </c>
    </row>
    <row r="2433">
      <c r="A2433" s="18" t="n"/>
      <c r="B2433" s="19" t="n"/>
      <c r="C2433" s="19" t="n"/>
      <c r="D2433" s="19" t="n"/>
      <c r="E2433" s="20" t="n"/>
      <c r="F2433" s="20" t="n"/>
      <c r="G2433" s="19" t="n"/>
      <c r="H2433" s="21">
        <f>IF(A2433="","",YEAR(A2433)*100+MONTH(A2433))</f>
        <v/>
      </c>
    </row>
    <row r="2434">
      <c r="A2434" s="18" t="n"/>
      <c r="B2434" s="19" t="n"/>
      <c r="C2434" s="19" t="n"/>
      <c r="D2434" s="19" t="n"/>
      <c r="E2434" s="20" t="n"/>
      <c r="F2434" s="20" t="n"/>
      <c r="G2434" s="19" t="n"/>
      <c r="H2434" s="21">
        <f>IF(A2434="","",YEAR(A2434)*100+MONTH(A2434))</f>
        <v/>
      </c>
    </row>
    <row r="2435">
      <c r="A2435" s="18" t="n"/>
      <c r="B2435" s="19" t="n"/>
      <c r="C2435" s="19" t="n"/>
      <c r="D2435" s="19" t="n"/>
      <c r="E2435" s="20" t="n"/>
      <c r="F2435" s="20" t="n"/>
      <c r="G2435" s="19" t="n"/>
      <c r="H2435" s="21">
        <f>IF(A2435="","",YEAR(A2435)*100+MONTH(A2435))</f>
        <v/>
      </c>
    </row>
    <row r="2436">
      <c r="A2436" s="18" t="n"/>
      <c r="B2436" s="19" t="n"/>
      <c r="C2436" s="19" t="n"/>
      <c r="D2436" s="19" t="n"/>
      <c r="E2436" s="20" t="n"/>
      <c r="F2436" s="20" t="n"/>
      <c r="G2436" s="19" t="n"/>
      <c r="H2436" s="21">
        <f>IF(A2436="","",YEAR(A2436)*100+MONTH(A2436))</f>
        <v/>
      </c>
    </row>
    <row r="2437">
      <c r="A2437" s="18" t="n"/>
      <c r="B2437" s="19" t="n"/>
      <c r="C2437" s="19" t="n"/>
      <c r="D2437" s="19" t="n"/>
      <c r="E2437" s="20" t="n"/>
      <c r="F2437" s="20" t="n"/>
      <c r="G2437" s="19" t="n"/>
      <c r="H2437" s="21">
        <f>IF(A2437="","",YEAR(A2437)*100+MONTH(A2437))</f>
        <v/>
      </c>
    </row>
    <row r="2438">
      <c r="A2438" s="18" t="n"/>
      <c r="B2438" s="19" t="n"/>
      <c r="C2438" s="19" t="n"/>
      <c r="D2438" s="19" t="n"/>
      <c r="E2438" s="20" t="n"/>
      <c r="F2438" s="20" t="n"/>
      <c r="G2438" s="19" t="n"/>
      <c r="H2438" s="21">
        <f>IF(A2438="","",YEAR(A2438)*100+MONTH(A2438))</f>
        <v/>
      </c>
    </row>
    <row r="2439">
      <c r="A2439" s="18" t="n"/>
      <c r="B2439" s="19" t="n"/>
      <c r="C2439" s="19" t="n"/>
      <c r="D2439" s="19" t="n"/>
      <c r="E2439" s="20" t="n"/>
      <c r="F2439" s="20" t="n"/>
      <c r="G2439" s="19" t="n"/>
      <c r="H2439" s="21">
        <f>IF(A2439="","",YEAR(A2439)*100+MONTH(A2439))</f>
        <v/>
      </c>
    </row>
    <row r="2440">
      <c r="A2440" s="18" t="n"/>
      <c r="B2440" s="19" t="n"/>
      <c r="C2440" s="19" t="n"/>
      <c r="D2440" s="19" t="n"/>
      <c r="E2440" s="20" t="n"/>
      <c r="F2440" s="20" t="n"/>
      <c r="G2440" s="19" t="n"/>
      <c r="H2440" s="21">
        <f>IF(A2440="","",YEAR(A2440)*100+MONTH(A2440))</f>
        <v/>
      </c>
    </row>
    <row r="2441">
      <c r="A2441" s="18" t="n"/>
      <c r="B2441" s="19" t="n"/>
      <c r="C2441" s="19" t="n"/>
      <c r="D2441" s="19" t="n"/>
      <c r="E2441" s="20" t="n"/>
      <c r="F2441" s="20" t="n"/>
      <c r="G2441" s="19" t="n"/>
      <c r="H2441" s="21">
        <f>IF(A2441="","",YEAR(A2441)*100+MONTH(A2441))</f>
        <v/>
      </c>
    </row>
    <row r="2442">
      <c r="A2442" s="18" t="n"/>
      <c r="B2442" s="19" t="n"/>
      <c r="C2442" s="19" t="n"/>
      <c r="D2442" s="19" t="n"/>
      <c r="E2442" s="20" t="n"/>
      <c r="F2442" s="20" t="n"/>
      <c r="G2442" s="19" t="n"/>
      <c r="H2442" s="21">
        <f>IF(A2442="","",YEAR(A2442)*100+MONTH(A2442))</f>
        <v/>
      </c>
    </row>
    <row r="2443">
      <c r="A2443" s="18" t="n"/>
      <c r="B2443" s="19" t="n"/>
      <c r="C2443" s="19" t="n"/>
      <c r="D2443" s="19" t="n"/>
      <c r="E2443" s="20" t="n"/>
      <c r="F2443" s="20" t="n"/>
      <c r="G2443" s="19" t="n"/>
      <c r="H2443" s="21">
        <f>IF(A2443="","",YEAR(A2443)*100+MONTH(A2443))</f>
        <v/>
      </c>
    </row>
    <row r="2444">
      <c r="A2444" s="18" t="n"/>
      <c r="B2444" s="19" t="n"/>
      <c r="C2444" s="19" t="n"/>
      <c r="D2444" s="19" t="n"/>
      <c r="E2444" s="20" t="n"/>
      <c r="F2444" s="20" t="n"/>
      <c r="G2444" s="19" t="n"/>
      <c r="H2444" s="21">
        <f>IF(A2444="","",YEAR(A2444)*100+MONTH(A2444))</f>
        <v/>
      </c>
    </row>
    <row r="2445">
      <c r="A2445" s="18" t="n"/>
      <c r="B2445" s="19" t="n"/>
      <c r="C2445" s="19" t="n"/>
      <c r="D2445" s="19" t="n"/>
      <c r="E2445" s="20" t="n"/>
      <c r="F2445" s="20" t="n"/>
      <c r="G2445" s="19" t="n"/>
      <c r="H2445" s="21">
        <f>IF(A2445="","",YEAR(A2445)*100+MONTH(A2445))</f>
        <v/>
      </c>
    </row>
    <row r="2446">
      <c r="A2446" s="18" t="n"/>
      <c r="B2446" s="19" t="n"/>
      <c r="C2446" s="19" t="n"/>
      <c r="D2446" s="19" t="n"/>
      <c r="E2446" s="20" t="n"/>
      <c r="F2446" s="20" t="n"/>
      <c r="G2446" s="19" t="n"/>
      <c r="H2446" s="21">
        <f>IF(A2446="","",YEAR(A2446)*100+MONTH(A2446))</f>
        <v/>
      </c>
    </row>
    <row r="2447">
      <c r="A2447" s="18" t="n"/>
      <c r="B2447" s="19" t="n"/>
      <c r="C2447" s="19" t="n"/>
      <c r="D2447" s="19" t="n"/>
      <c r="E2447" s="20" t="n"/>
      <c r="F2447" s="20" t="n"/>
      <c r="G2447" s="19" t="n"/>
      <c r="H2447" s="21">
        <f>IF(A2447="","",YEAR(A2447)*100+MONTH(A2447))</f>
        <v/>
      </c>
    </row>
    <row r="2448">
      <c r="A2448" s="18" t="n"/>
      <c r="B2448" s="19" t="n"/>
      <c r="C2448" s="19" t="n"/>
      <c r="D2448" s="19" t="n"/>
      <c r="E2448" s="20" t="n"/>
      <c r="F2448" s="20" t="n"/>
      <c r="G2448" s="19" t="n"/>
      <c r="H2448" s="21">
        <f>IF(A2448="","",YEAR(A2448)*100+MONTH(A2448))</f>
        <v/>
      </c>
    </row>
    <row r="2449">
      <c r="A2449" s="18" t="n"/>
      <c r="B2449" s="19" t="n"/>
      <c r="C2449" s="19" t="n"/>
      <c r="D2449" s="19" t="n"/>
      <c r="E2449" s="20" t="n"/>
      <c r="F2449" s="20" t="n"/>
      <c r="G2449" s="19" t="n"/>
      <c r="H2449" s="21">
        <f>IF(A2449="","",YEAR(A2449)*100+MONTH(A2449))</f>
        <v/>
      </c>
    </row>
    <row r="2450">
      <c r="A2450" s="18" t="n"/>
      <c r="B2450" s="19" t="n"/>
      <c r="C2450" s="19" t="n"/>
      <c r="D2450" s="19" t="n"/>
      <c r="E2450" s="20" t="n"/>
      <c r="F2450" s="20" t="n"/>
      <c r="G2450" s="19" t="n"/>
      <c r="H2450" s="21">
        <f>IF(A2450="","",YEAR(A2450)*100+MONTH(A2450))</f>
        <v/>
      </c>
    </row>
    <row r="2451">
      <c r="A2451" s="18" t="n"/>
      <c r="B2451" s="19" t="n"/>
      <c r="C2451" s="19" t="n"/>
      <c r="D2451" s="19" t="n"/>
      <c r="E2451" s="20" t="n"/>
      <c r="F2451" s="20" t="n"/>
      <c r="G2451" s="19" t="n"/>
      <c r="H2451" s="21">
        <f>IF(A2451="","",YEAR(A2451)*100+MONTH(A2451))</f>
        <v/>
      </c>
    </row>
    <row r="2452">
      <c r="A2452" s="18" t="n"/>
      <c r="B2452" s="19" t="n"/>
      <c r="C2452" s="19" t="n"/>
      <c r="D2452" s="19" t="n"/>
      <c r="E2452" s="20" t="n"/>
      <c r="F2452" s="20" t="n"/>
      <c r="G2452" s="19" t="n"/>
      <c r="H2452" s="21">
        <f>IF(A2452="","",YEAR(A2452)*100+MONTH(A2452))</f>
        <v/>
      </c>
    </row>
    <row r="2453">
      <c r="A2453" s="18" t="n"/>
      <c r="B2453" s="19" t="n"/>
      <c r="C2453" s="19" t="n"/>
      <c r="D2453" s="19" t="n"/>
      <c r="E2453" s="20" t="n"/>
      <c r="F2453" s="20" t="n"/>
      <c r="G2453" s="19" t="n"/>
      <c r="H2453" s="21">
        <f>IF(A2453="","",YEAR(A2453)*100+MONTH(A2453))</f>
        <v/>
      </c>
    </row>
    <row r="2454">
      <c r="A2454" s="18" t="n"/>
      <c r="B2454" s="19" t="n"/>
      <c r="C2454" s="19" t="n"/>
      <c r="D2454" s="19" t="n"/>
      <c r="E2454" s="20" t="n"/>
      <c r="F2454" s="20" t="n"/>
      <c r="G2454" s="19" t="n"/>
      <c r="H2454" s="21">
        <f>IF(A2454="","",YEAR(A2454)*100+MONTH(A2454))</f>
        <v/>
      </c>
    </row>
    <row r="2455">
      <c r="A2455" s="18" t="n"/>
      <c r="B2455" s="19" t="n"/>
      <c r="C2455" s="19" t="n"/>
      <c r="D2455" s="19" t="n"/>
      <c r="E2455" s="20" t="n"/>
      <c r="F2455" s="20" t="n"/>
      <c r="G2455" s="19" t="n"/>
      <c r="H2455" s="21">
        <f>IF(A2455="","",YEAR(A2455)*100+MONTH(A2455))</f>
        <v/>
      </c>
    </row>
    <row r="2456">
      <c r="A2456" s="18" t="n"/>
      <c r="B2456" s="19" t="n"/>
      <c r="C2456" s="19" t="n"/>
      <c r="D2456" s="19" t="n"/>
      <c r="E2456" s="20" t="n"/>
      <c r="F2456" s="20" t="n"/>
      <c r="G2456" s="19" t="n"/>
      <c r="H2456" s="21">
        <f>IF(A2456="","",YEAR(A2456)*100+MONTH(A2456))</f>
        <v/>
      </c>
    </row>
    <row r="2457">
      <c r="A2457" s="18" t="n"/>
      <c r="B2457" s="19" t="n"/>
      <c r="C2457" s="19" t="n"/>
      <c r="D2457" s="19" t="n"/>
      <c r="E2457" s="20" t="n"/>
      <c r="F2457" s="20" t="n"/>
      <c r="G2457" s="19" t="n"/>
      <c r="H2457" s="21">
        <f>IF(A2457="","",YEAR(A2457)*100+MONTH(A2457))</f>
        <v/>
      </c>
    </row>
    <row r="2458">
      <c r="A2458" s="18" t="n"/>
      <c r="B2458" s="19" t="n"/>
      <c r="C2458" s="19" t="n"/>
      <c r="D2458" s="19" t="n"/>
      <c r="E2458" s="20" t="n"/>
      <c r="F2458" s="20" t="n"/>
      <c r="G2458" s="19" t="n"/>
      <c r="H2458" s="21">
        <f>IF(A2458="","",YEAR(A2458)*100+MONTH(A2458))</f>
        <v/>
      </c>
    </row>
    <row r="2459">
      <c r="A2459" s="18" t="n"/>
      <c r="B2459" s="19" t="n"/>
      <c r="C2459" s="19" t="n"/>
      <c r="D2459" s="19" t="n"/>
      <c r="E2459" s="20" t="n"/>
      <c r="F2459" s="20" t="n"/>
      <c r="G2459" s="19" t="n"/>
      <c r="H2459" s="21">
        <f>IF(A2459="","",YEAR(A2459)*100+MONTH(A2459))</f>
        <v/>
      </c>
    </row>
    <row r="2460">
      <c r="A2460" s="18" t="n"/>
      <c r="B2460" s="19" t="n"/>
      <c r="C2460" s="19" t="n"/>
      <c r="D2460" s="19" t="n"/>
      <c r="E2460" s="20" t="n"/>
      <c r="F2460" s="20" t="n"/>
      <c r="G2460" s="19" t="n"/>
      <c r="H2460" s="21">
        <f>IF(A2460="","",YEAR(A2460)*100+MONTH(A2460))</f>
        <v/>
      </c>
    </row>
    <row r="2461">
      <c r="A2461" s="18" t="n"/>
      <c r="B2461" s="19" t="n"/>
      <c r="C2461" s="19" t="n"/>
      <c r="D2461" s="19" t="n"/>
      <c r="E2461" s="20" t="n"/>
      <c r="F2461" s="20" t="n"/>
      <c r="G2461" s="19" t="n"/>
      <c r="H2461" s="21">
        <f>IF(A2461="","",YEAR(A2461)*100+MONTH(A2461))</f>
        <v/>
      </c>
    </row>
    <row r="2462">
      <c r="A2462" s="18" t="n"/>
      <c r="B2462" s="19" t="n"/>
      <c r="C2462" s="19" t="n"/>
      <c r="D2462" s="19" t="n"/>
      <c r="E2462" s="20" t="n"/>
      <c r="F2462" s="20" t="n"/>
      <c r="G2462" s="19" t="n"/>
      <c r="H2462" s="21">
        <f>IF(A2462="","",YEAR(A2462)*100+MONTH(A2462))</f>
        <v/>
      </c>
    </row>
    <row r="2463">
      <c r="A2463" s="18" t="n"/>
      <c r="B2463" s="19" t="n"/>
      <c r="C2463" s="19" t="n"/>
      <c r="D2463" s="19" t="n"/>
      <c r="E2463" s="20" t="n"/>
      <c r="F2463" s="20" t="n"/>
      <c r="G2463" s="19" t="n"/>
      <c r="H2463" s="21">
        <f>IF(A2463="","",YEAR(A2463)*100+MONTH(A2463))</f>
        <v/>
      </c>
    </row>
    <row r="2464">
      <c r="A2464" s="18" t="n"/>
      <c r="B2464" s="19" t="n"/>
      <c r="C2464" s="19" t="n"/>
      <c r="D2464" s="19" t="n"/>
      <c r="E2464" s="20" t="n"/>
      <c r="F2464" s="20" t="n"/>
      <c r="G2464" s="19" t="n"/>
      <c r="H2464" s="21">
        <f>IF(A2464="","",YEAR(A2464)*100+MONTH(A2464))</f>
        <v/>
      </c>
    </row>
    <row r="2465">
      <c r="A2465" s="18" t="n"/>
      <c r="B2465" s="19" t="n"/>
      <c r="C2465" s="19" t="n"/>
      <c r="D2465" s="19" t="n"/>
      <c r="E2465" s="20" t="n"/>
      <c r="F2465" s="20" t="n"/>
      <c r="G2465" s="19" t="n"/>
      <c r="H2465" s="21">
        <f>IF(A2465="","",YEAR(A2465)*100+MONTH(A2465))</f>
        <v/>
      </c>
    </row>
    <row r="2466">
      <c r="A2466" s="18" t="n"/>
      <c r="B2466" s="19" t="n"/>
      <c r="C2466" s="19" t="n"/>
      <c r="D2466" s="19" t="n"/>
      <c r="E2466" s="20" t="n"/>
      <c r="F2466" s="20" t="n"/>
      <c r="G2466" s="19" t="n"/>
      <c r="H2466" s="21">
        <f>IF(A2466="","",YEAR(A2466)*100+MONTH(A2466))</f>
        <v/>
      </c>
    </row>
    <row r="2467">
      <c r="A2467" s="18" t="n"/>
      <c r="B2467" s="19" t="n"/>
      <c r="C2467" s="19" t="n"/>
      <c r="D2467" s="19" t="n"/>
      <c r="E2467" s="20" t="n"/>
      <c r="F2467" s="20" t="n"/>
      <c r="G2467" s="19" t="n"/>
      <c r="H2467" s="21">
        <f>IF(A2467="","",YEAR(A2467)*100+MONTH(A2467))</f>
        <v/>
      </c>
    </row>
    <row r="2468">
      <c r="A2468" s="18" t="n"/>
      <c r="B2468" s="19" t="n"/>
      <c r="C2468" s="19" t="n"/>
      <c r="D2468" s="19" t="n"/>
      <c r="E2468" s="20" t="n"/>
      <c r="F2468" s="20" t="n"/>
      <c r="G2468" s="19" t="n"/>
      <c r="H2468" s="21">
        <f>IF(A2468="","",YEAR(A2468)*100+MONTH(A2468))</f>
        <v/>
      </c>
    </row>
    <row r="2469">
      <c r="A2469" s="18" t="n"/>
      <c r="B2469" s="19" t="n"/>
      <c r="C2469" s="19" t="n"/>
      <c r="D2469" s="19" t="n"/>
      <c r="E2469" s="20" t="n"/>
      <c r="F2469" s="20" t="n"/>
      <c r="G2469" s="19" t="n"/>
      <c r="H2469" s="21">
        <f>IF(A2469="","",YEAR(A2469)*100+MONTH(A2469))</f>
        <v/>
      </c>
    </row>
    <row r="2470">
      <c r="A2470" s="18" t="n"/>
      <c r="B2470" s="19" t="n"/>
      <c r="C2470" s="19" t="n"/>
      <c r="D2470" s="19" t="n"/>
      <c r="E2470" s="20" t="n"/>
      <c r="F2470" s="20" t="n"/>
      <c r="G2470" s="19" t="n"/>
      <c r="H2470" s="21">
        <f>IF(A2470="","",YEAR(A2470)*100+MONTH(A2470))</f>
        <v/>
      </c>
    </row>
    <row r="2471">
      <c r="A2471" s="18" t="n"/>
      <c r="B2471" s="19" t="n"/>
      <c r="C2471" s="19" t="n"/>
      <c r="D2471" s="19" t="n"/>
      <c r="E2471" s="20" t="n"/>
      <c r="F2471" s="20" t="n"/>
      <c r="G2471" s="19" t="n"/>
      <c r="H2471" s="21">
        <f>IF(A2471="","",YEAR(A2471)*100+MONTH(A2471))</f>
        <v/>
      </c>
    </row>
    <row r="2472">
      <c r="A2472" s="18" t="n"/>
      <c r="B2472" s="19" t="n"/>
      <c r="C2472" s="19" t="n"/>
      <c r="D2472" s="19" t="n"/>
      <c r="E2472" s="20" t="n"/>
      <c r="F2472" s="20" t="n"/>
      <c r="G2472" s="19" t="n"/>
      <c r="H2472" s="21">
        <f>IF(A2472="","",YEAR(A2472)*100+MONTH(A2472))</f>
        <v/>
      </c>
    </row>
    <row r="2473">
      <c r="A2473" s="18" t="n"/>
      <c r="B2473" s="19" t="n"/>
      <c r="C2473" s="19" t="n"/>
      <c r="D2473" s="19" t="n"/>
      <c r="E2473" s="20" t="n"/>
      <c r="F2473" s="20" t="n"/>
      <c r="G2473" s="19" t="n"/>
      <c r="H2473" s="21">
        <f>IF(A2473="","",YEAR(A2473)*100+MONTH(A2473))</f>
        <v/>
      </c>
    </row>
    <row r="2474">
      <c r="A2474" s="18" t="n"/>
      <c r="B2474" s="19" t="n"/>
      <c r="C2474" s="19" t="n"/>
      <c r="D2474" s="19" t="n"/>
      <c r="E2474" s="20" t="n"/>
      <c r="F2474" s="20" t="n"/>
      <c r="G2474" s="19" t="n"/>
      <c r="H2474" s="21">
        <f>IF(A2474="","",YEAR(A2474)*100+MONTH(A2474))</f>
        <v/>
      </c>
    </row>
    <row r="2475">
      <c r="A2475" s="18" t="n"/>
      <c r="B2475" s="19" t="n"/>
      <c r="C2475" s="19" t="n"/>
      <c r="D2475" s="19" t="n"/>
      <c r="E2475" s="20" t="n"/>
      <c r="F2475" s="20" t="n"/>
      <c r="G2475" s="19" t="n"/>
      <c r="H2475" s="21">
        <f>IF(A2475="","",YEAR(A2475)*100+MONTH(A2475))</f>
        <v/>
      </c>
    </row>
    <row r="2476">
      <c r="A2476" s="18" t="n"/>
      <c r="B2476" s="19" t="n"/>
      <c r="C2476" s="19" t="n"/>
      <c r="D2476" s="19" t="n"/>
      <c r="E2476" s="20" t="n"/>
      <c r="F2476" s="20" t="n"/>
      <c r="G2476" s="19" t="n"/>
      <c r="H2476" s="21">
        <f>IF(A2476="","",YEAR(A2476)*100+MONTH(A2476))</f>
        <v/>
      </c>
    </row>
    <row r="2477">
      <c r="A2477" s="18" t="n"/>
      <c r="B2477" s="19" t="n"/>
      <c r="C2477" s="19" t="n"/>
      <c r="D2477" s="19" t="n"/>
      <c r="E2477" s="20" t="n"/>
      <c r="F2477" s="20" t="n"/>
      <c r="G2477" s="19" t="n"/>
      <c r="H2477" s="21">
        <f>IF(A2477="","",YEAR(A2477)*100+MONTH(A2477))</f>
        <v/>
      </c>
    </row>
    <row r="2478">
      <c r="A2478" s="18" t="n"/>
      <c r="B2478" s="19" t="n"/>
      <c r="C2478" s="19" t="n"/>
      <c r="D2478" s="19" t="n"/>
      <c r="E2478" s="20" t="n"/>
      <c r="F2478" s="20" t="n"/>
      <c r="G2478" s="19" t="n"/>
      <c r="H2478" s="21">
        <f>IF(A2478="","",YEAR(A2478)*100+MONTH(A2478))</f>
        <v/>
      </c>
    </row>
    <row r="2479">
      <c r="A2479" s="18" t="n"/>
      <c r="B2479" s="19" t="n"/>
      <c r="C2479" s="19" t="n"/>
      <c r="D2479" s="19" t="n"/>
      <c r="E2479" s="20" t="n"/>
      <c r="F2479" s="20" t="n"/>
      <c r="G2479" s="19" t="n"/>
      <c r="H2479" s="21">
        <f>IF(A2479="","",YEAR(A2479)*100+MONTH(A2479))</f>
        <v/>
      </c>
    </row>
    <row r="2480">
      <c r="A2480" s="18" t="n"/>
      <c r="B2480" s="19" t="n"/>
      <c r="C2480" s="19" t="n"/>
      <c r="D2480" s="19" t="n"/>
      <c r="E2480" s="20" t="n"/>
      <c r="F2480" s="20" t="n"/>
      <c r="G2480" s="19" t="n"/>
      <c r="H2480" s="21">
        <f>IF(A2480="","",YEAR(A2480)*100+MONTH(A2480))</f>
        <v/>
      </c>
    </row>
    <row r="2481">
      <c r="A2481" s="18" t="n"/>
      <c r="B2481" s="19" t="n"/>
      <c r="C2481" s="19" t="n"/>
      <c r="D2481" s="19" t="n"/>
      <c r="E2481" s="20" t="n"/>
      <c r="F2481" s="20" t="n"/>
      <c r="G2481" s="19" t="n"/>
      <c r="H2481" s="21">
        <f>IF(A2481="","",YEAR(A2481)*100+MONTH(A2481))</f>
        <v/>
      </c>
    </row>
    <row r="2482">
      <c r="A2482" s="18" t="n"/>
      <c r="B2482" s="19" t="n"/>
      <c r="C2482" s="19" t="n"/>
      <c r="D2482" s="19" t="n"/>
      <c r="E2482" s="20" t="n"/>
      <c r="F2482" s="20" t="n"/>
      <c r="G2482" s="19" t="n"/>
      <c r="H2482" s="21">
        <f>IF(A2482="","",YEAR(A2482)*100+MONTH(A2482))</f>
        <v/>
      </c>
    </row>
    <row r="2483">
      <c r="A2483" s="18" t="n"/>
      <c r="B2483" s="19" t="n"/>
      <c r="C2483" s="19" t="n"/>
      <c r="D2483" s="19" t="n"/>
      <c r="E2483" s="20" t="n"/>
      <c r="F2483" s="20" t="n"/>
      <c r="G2483" s="19" t="n"/>
      <c r="H2483" s="21">
        <f>IF(A2483="","",YEAR(A2483)*100+MONTH(A2483))</f>
        <v/>
      </c>
    </row>
    <row r="2484">
      <c r="A2484" s="18" t="n"/>
      <c r="B2484" s="19" t="n"/>
      <c r="C2484" s="19" t="n"/>
      <c r="D2484" s="19" t="n"/>
      <c r="E2484" s="20" t="n"/>
      <c r="F2484" s="20" t="n"/>
      <c r="G2484" s="19" t="n"/>
      <c r="H2484" s="21">
        <f>IF(A2484="","",YEAR(A2484)*100+MONTH(A2484))</f>
        <v/>
      </c>
    </row>
    <row r="2485">
      <c r="A2485" s="18" t="n"/>
      <c r="B2485" s="19" t="n"/>
      <c r="C2485" s="19" t="n"/>
      <c r="D2485" s="19" t="n"/>
      <c r="E2485" s="20" t="n"/>
      <c r="F2485" s="20" t="n"/>
      <c r="G2485" s="19" t="n"/>
      <c r="H2485" s="21">
        <f>IF(A2485="","",YEAR(A2485)*100+MONTH(A2485))</f>
        <v/>
      </c>
    </row>
    <row r="2486">
      <c r="A2486" s="18" t="n"/>
      <c r="B2486" s="19" t="n"/>
      <c r="C2486" s="19" t="n"/>
      <c r="D2486" s="19" t="n"/>
      <c r="E2486" s="20" t="n"/>
      <c r="F2486" s="20" t="n"/>
      <c r="G2486" s="19" t="n"/>
      <c r="H2486" s="21">
        <f>IF(A2486="","",YEAR(A2486)*100+MONTH(A2486))</f>
        <v/>
      </c>
    </row>
    <row r="2487">
      <c r="A2487" s="18" t="n"/>
      <c r="B2487" s="19" t="n"/>
      <c r="C2487" s="19" t="n"/>
      <c r="D2487" s="19" t="n"/>
      <c r="E2487" s="20" t="n"/>
      <c r="F2487" s="20" t="n"/>
      <c r="G2487" s="19" t="n"/>
      <c r="H2487" s="21">
        <f>IF(A2487="","",YEAR(A2487)*100+MONTH(A2487))</f>
        <v/>
      </c>
    </row>
    <row r="2488">
      <c r="A2488" s="18" t="n"/>
      <c r="B2488" s="19" t="n"/>
      <c r="C2488" s="19" t="n"/>
      <c r="D2488" s="19" t="n"/>
      <c r="E2488" s="20" t="n"/>
      <c r="F2488" s="20" t="n"/>
      <c r="G2488" s="19" t="n"/>
      <c r="H2488" s="21">
        <f>IF(A2488="","",YEAR(A2488)*100+MONTH(A2488))</f>
        <v/>
      </c>
    </row>
    <row r="2489">
      <c r="A2489" s="18" t="n"/>
      <c r="B2489" s="19" t="n"/>
      <c r="C2489" s="19" t="n"/>
      <c r="D2489" s="19" t="n"/>
      <c r="E2489" s="20" t="n"/>
      <c r="F2489" s="20" t="n"/>
      <c r="G2489" s="19" t="n"/>
      <c r="H2489" s="21">
        <f>IF(A2489="","",YEAR(A2489)*100+MONTH(A2489))</f>
        <v/>
      </c>
    </row>
    <row r="2490">
      <c r="A2490" s="18" t="n"/>
      <c r="B2490" s="19" t="n"/>
      <c r="C2490" s="19" t="n"/>
      <c r="D2490" s="19" t="n"/>
      <c r="E2490" s="20" t="n"/>
      <c r="F2490" s="20" t="n"/>
      <c r="G2490" s="19" t="n"/>
      <c r="H2490" s="21">
        <f>IF(A2490="","",YEAR(A2490)*100+MONTH(A2490))</f>
        <v/>
      </c>
    </row>
    <row r="2491">
      <c r="A2491" s="18" t="n"/>
      <c r="B2491" s="19" t="n"/>
      <c r="C2491" s="19" t="n"/>
      <c r="D2491" s="19" t="n"/>
      <c r="E2491" s="20" t="n"/>
      <c r="F2491" s="20" t="n"/>
      <c r="G2491" s="19" t="n"/>
      <c r="H2491" s="21">
        <f>IF(A2491="","",YEAR(A2491)*100+MONTH(A2491))</f>
        <v/>
      </c>
    </row>
    <row r="2492">
      <c r="A2492" s="18" t="n"/>
      <c r="B2492" s="19" t="n"/>
      <c r="C2492" s="19" t="n"/>
      <c r="D2492" s="19" t="n"/>
      <c r="E2492" s="20" t="n"/>
      <c r="F2492" s="20" t="n"/>
      <c r="G2492" s="19" t="n"/>
      <c r="H2492" s="21">
        <f>IF(A2492="","",YEAR(A2492)*100+MONTH(A2492))</f>
        <v/>
      </c>
    </row>
    <row r="2493">
      <c r="A2493" s="18" t="n"/>
      <c r="B2493" s="19" t="n"/>
      <c r="C2493" s="19" t="n"/>
      <c r="D2493" s="19" t="n"/>
      <c r="E2493" s="20" t="n"/>
      <c r="F2493" s="20" t="n"/>
      <c r="G2493" s="19" t="n"/>
      <c r="H2493" s="21">
        <f>IF(A2493="","",YEAR(A2493)*100+MONTH(A2493))</f>
        <v/>
      </c>
    </row>
    <row r="2494">
      <c r="A2494" s="18" t="n"/>
      <c r="B2494" s="19" t="n"/>
      <c r="C2494" s="19" t="n"/>
      <c r="D2494" s="19" t="n"/>
      <c r="E2494" s="20" t="n"/>
      <c r="F2494" s="20" t="n"/>
      <c r="G2494" s="19" t="n"/>
      <c r="H2494" s="21">
        <f>IF(A2494="","",YEAR(A2494)*100+MONTH(A2494))</f>
        <v/>
      </c>
    </row>
    <row r="2495">
      <c r="A2495" s="18" t="n"/>
      <c r="B2495" s="19" t="n"/>
      <c r="C2495" s="19" t="n"/>
      <c r="D2495" s="19" t="n"/>
      <c r="E2495" s="20" t="n"/>
      <c r="F2495" s="20" t="n"/>
      <c r="G2495" s="19" t="n"/>
      <c r="H2495" s="21">
        <f>IF(A2495="","",YEAR(A2495)*100+MONTH(A2495))</f>
        <v/>
      </c>
    </row>
    <row r="2496">
      <c r="A2496" s="18" t="n"/>
      <c r="B2496" s="19" t="n"/>
      <c r="C2496" s="19" t="n"/>
      <c r="D2496" s="19" t="n"/>
      <c r="E2496" s="20" t="n"/>
      <c r="F2496" s="20" t="n"/>
      <c r="G2496" s="19" t="n"/>
      <c r="H2496" s="21">
        <f>IF(A2496="","",YEAR(A2496)*100+MONTH(A2496))</f>
        <v/>
      </c>
    </row>
    <row r="2497">
      <c r="A2497" s="18" t="n"/>
      <c r="B2497" s="19" t="n"/>
      <c r="C2497" s="19" t="n"/>
      <c r="D2497" s="19" t="n"/>
      <c r="E2497" s="20" t="n"/>
      <c r="F2497" s="20" t="n"/>
      <c r="G2497" s="19" t="n"/>
      <c r="H2497" s="21">
        <f>IF(A2497="","",YEAR(A2497)*100+MONTH(A2497))</f>
        <v/>
      </c>
    </row>
    <row r="2498">
      <c r="A2498" s="18" t="n"/>
      <c r="B2498" s="19" t="n"/>
      <c r="C2498" s="19" t="n"/>
      <c r="D2498" s="19" t="n"/>
      <c r="E2498" s="20" t="n"/>
      <c r="F2498" s="20" t="n"/>
      <c r="G2498" s="19" t="n"/>
      <c r="H2498" s="21">
        <f>IF(A2498="","",YEAR(A2498)*100+MONTH(A2498))</f>
        <v/>
      </c>
    </row>
    <row r="2499">
      <c r="A2499" s="18" t="n"/>
      <c r="B2499" s="19" t="n"/>
      <c r="C2499" s="19" t="n"/>
      <c r="D2499" s="19" t="n"/>
      <c r="E2499" s="20" t="n"/>
      <c r="F2499" s="20" t="n"/>
      <c r="G2499" s="19" t="n"/>
      <c r="H2499" s="21">
        <f>IF(A2499="","",YEAR(A2499)*100+MONTH(A2499))</f>
        <v/>
      </c>
    </row>
    <row r="2500">
      <c r="A2500" s="18" t="n"/>
      <c r="B2500" s="19" t="n"/>
      <c r="C2500" s="19" t="n"/>
      <c r="D2500" s="19" t="n"/>
      <c r="E2500" s="20" t="n"/>
      <c r="F2500" s="20" t="n"/>
      <c r="G2500" s="19" t="n"/>
      <c r="H2500" s="21">
        <f>IF(A2500="","",YEAR(A2500)*100+MONTH(A2500))</f>
        <v/>
      </c>
    </row>
    <row r="2501">
      <c r="A2501" s="18" t="n"/>
      <c r="B2501" s="19" t="n"/>
      <c r="C2501" s="19" t="n"/>
      <c r="D2501" s="19" t="n"/>
      <c r="E2501" s="20" t="n"/>
      <c r="F2501" s="20" t="n"/>
      <c r="G2501" s="19" t="n"/>
      <c r="H2501" s="21">
        <f>IF(A2501="","",YEAR(A2501)*100+MONTH(A2501))</f>
        <v/>
      </c>
    </row>
    <row r="2502">
      <c r="A2502" s="18" t="n"/>
      <c r="B2502" s="19" t="n"/>
      <c r="C2502" s="19" t="n"/>
      <c r="D2502" s="19" t="n"/>
      <c r="E2502" s="20" t="n"/>
      <c r="F2502" s="20" t="n"/>
      <c r="G2502" s="19" t="n"/>
      <c r="H2502" s="21">
        <f>IF(A2502="","",YEAR(A2502)*100+MONTH(A2502))</f>
        <v/>
      </c>
    </row>
    <row r="2503">
      <c r="A2503" s="18" t="n"/>
      <c r="B2503" s="19" t="n"/>
      <c r="C2503" s="19" t="n"/>
      <c r="D2503" s="19" t="n"/>
      <c r="E2503" s="20" t="n"/>
      <c r="F2503" s="20" t="n"/>
      <c r="G2503" s="19" t="n"/>
      <c r="H2503" s="21">
        <f>IF(A2503="","",YEAR(A2503)*100+MONTH(A2503))</f>
        <v/>
      </c>
    </row>
    <row r="2504">
      <c r="A2504" s="18" t="n"/>
      <c r="B2504" s="19" t="n"/>
      <c r="C2504" s="19" t="n"/>
      <c r="D2504" s="19" t="n"/>
      <c r="E2504" s="20" t="n"/>
      <c r="F2504" s="20" t="n"/>
      <c r="G2504" s="19" t="n"/>
      <c r="H2504" s="21">
        <f>IF(A2504="","",YEAR(A2504)*100+MONTH(A2504))</f>
        <v/>
      </c>
    </row>
    <row r="2505">
      <c r="A2505" s="18" t="n"/>
      <c r="B2505" s="19" t="n"/>
      <c r="C2505" s="19" t="n"/>
      <c r="D2505" s="19" t="n"/>
      <c r="E2505" s="20" t="n"/>
      <c r="F2505" s="20" t="n"/>
      <c r="G2505" s="19" t="n"/>
      <c r="H2505" s="21">
        <f>IF(A2505="","",YEAR(A2505)*100+MONTH(A2505))</f>
        <v/>
      </c>
    </row>
    <row r="2506">
      <c r="A2506" s="18" t="n"/>
      <c r="B2506" s="19" t="n"/>
      <c r="C2506" s="19" t="n"/>
      <c r="D2506" s="19" t="n"/>
      <c r="E2506" s="20" t="n"/>
      <c r="F2506" s="20" t="n"/>
      <c r="G2506" s="19" t="n"/>
      <c r="H2506" s="21">
        <f>IF(A2506="","",YEAR(A2506)*100+MONTH(A2506))</f>
        <v/>
      </c>
    </row>
    <row r="2507">
      <c r="A2507" s="18" t="n"/>
      <c r="B2507" s="19" t="n"/>
      <c r="C2507" s="19" t="n"/>
      <c r="D2507" s="19" t="n"/>
      <c r="E2507" s="20" t="n"/>
      <c r="F2507" s="20" t="n"/>
      <c r="G2507" s="19" t="n"/>
      <c r="H2507" s="21">
        <f>IF(A2507="","",YEAR(A2507)*100+MONTH(A2507))</f>
        <v/>
      </c>
    </row>
    <row r="2508">
      <c r="A2508" s="18" t="n"/>
      <c r="B2508" s="19" t="n"/>
      <c r="C2508" s="19" t="n"/>
      <c r="D2508" s="19" t="n"/>
      <c r="E2508" s="20" t="n"/>
      <c r="F2508" s="20" t="n"/>
      <c r="G2508" s="19" t="n"/>
      <c r="H2508" s="21">
        <f>IF(A2508="","",YEAR(A2508)*100+MONTH(A2508))</f>
        <v/>
      </c>
    </row>
    <row r="2509">
      <c r="A2509" s="18" t="n"/>
      <c r="B2509" s="19" t="n"/>
      <c r="C2509" s="19" t="n"/>
      <c r="D2509" s="19" t="n"/>
      <c r="E2509" s="20" t="n"/>
      <c r="F2509" s="20" t="n"/>
      <c r="G2509" s="19" t="n"/>
      <c r="H2509" s="21">
        <f>IF(A2509="","",YEAR(A2509)*100+MONTH(A2509))</f>
        <v/>
      </c>
    </row>
    <row r="2510">
      <c r="A2510" s="18" t="n"/>
      <c r="B2510" s="19" t="n"/>
      <c r="C2510" s="19" t="n"/>
      <c r="D2510" s="19" t="n"/>
      <c r="E2510" s="20" t="n"/>
      <c r="F2510" s="20" t="n"/>
      <c r="G2510" s="19" t="n"/>
      <c r="H2510" s="21">
        <f>IF(A2510="","",YEAR(A2510)*100+MONTH(A2510))</f>
        <v/>
      </c>
    </row>
    <row r="2511">
      <c r="A2511" s="18" t="n"/>
      <c r="B2511" s="19" t="n"/>
      <c r="C2511" s="19" t="n"/>
      <c r="D2511" s="19" t="n"/>
      <c r="E2511" s="20" t="n"/>
      <c r="F2511" s="20" t="n"/>
      <c r="G2511" s="19" t="n"/>
      <c r="H2511" s="21">
        <f>IF(A2511="","",YEAR(A2511)*100+MONTH(A2511))</f>
        <v/>
      </c>
    </row>
    <row r="2512">
      <c r="A2512" s="18" t="n"/>
      <c r="B2512" s="19" t="n"/>
      <c r="C2512" s="19" t="n"/>
      <c r="D2512" s="19" t="n"/>
      <c r="E2512" s="20" t="n"/>
      <c r="F2512" s="20" t="n"/>
      <c r="G2512" s="19" t="n"/>
      <c r="H2512" s="21">
        <f>IF(A2512="","",YEAR(A2512)*100+MONTH(A2512))</f>
        <v/>
      </c>
    </row>
    <row r="2513">
      <c r="A2513" s="18" t="n"/>
      <c r="B2513" s="19" t="n"/>
      <c r="C2513" s="19" t="n"/>
      <c r="D2513" s="19" t="n"/>
      <c r="E2513" s="20" t="n"/>
      <c r="F2513" s="20" t="n"/>
      <c r="G2513" s="19" t="n"/>
      <c r="H2513" s="21">
        <f>IF(A2513="","",YEAR(A2513)*100+MONTH(A2513))</f>
        <v/>
      </c>
    </row>
    <row r="2514">
      <c r="A2514" s="18" t="n"/>
      <c r="B2514" s="19" t="n"/>
      <c r="C2514" s="19" t="n"/>
      <c r="D2514" s="19" t="n"/>
      <c r="E2514" s="20" t="n"/>
      <c r="F2514" s="20" t="n"/>
      <c r="G2514" s="19" t="n"/>
      <c r="H2514" s="21">
        <f>IF(A2514="","",YEAR(A2514)*100+MONTH(A2514))</f>
        <v/>
      </c>
    </row>
    <row r="2515">
      <c r="A2515" s="18" t="n"/>
      <c r="B2515" s="19" t="n"/>
      <c r="C2515" s="19" t="n"/>
      <c r="D2515" s="19" t="n"/>
      <c r="E2515" s="20" t="n"/>
      <c r="F2515" s="20" t="n"/>
      <c r="G2515" s="19" t="n"/>
      <c r="H2515" s="21">
        <f>IF(A2515="","",YEAR(A2515)*100+MONTH(A2515))</f>
        <v/>
      </c>
    </row>
    <row r="2516">
      <c r="A2516" s="18" t="n"/>
      <c r="B2516" s="19" t="n"/>
      <c r="C2516" s="19" t="n"/>
      <c r="D2516" s="19" t="n"/>
      <c r="E2516" s="20" t="n"/>
      <c r="F2516" s="20" t="n"/>
      <c r="G2516" s="19" t="n"/>
      <c r="H2516" s="21">
        <f>IF(A2516="","",YEAR(A2516)*100+MONTH(A2516))</f>
        <v/>
      </c>
    </row>
    <row r="2517">
      <c r="A2517" s="18" t="n"/>
      <c r="B2517" s="19" t="n"/>
      <c r="C2517" s="19" t="n"/>
      <c r="D2517" s="19" t="n"/>
      <c r="E2517" s="20" t="n"/>
      <c r="F2517" s="20" t="n"/>
      <c r="G2517" s="19" t="n"/>
      <c r="H2517" s="21">
        <f>IF(A2517="","",YEAR(A2517)*100+MONTH(A2517))</f>
        <v/>
      </c>
    </row>
    <row r="2518">
      <c r="A2518" s="18" t="n"/>
      <c r="B2518" s="19" t="n"/>
      <c r="C2518" s="19" t="n"/>
      <c r="D2518" s="19" t="n"/>
      <c r="E2518" s="20" t="n"/>
      <c r="F2518" s="20" t="n"/>
      <c r="G2518" s="19" t="n"/>
      <c r="H2518" s="21">
        <f>IF(A2518="","",YEAR(A2518)*100+MONTH(A2518))</f>
        <v/>
      </c>
    </row>
    <row r="2519">
      <c r="A2519" s="18" t="n"/>
      <c r="B2519" s="19" t="n"/>
      <c r="C2519" s="19" t="n"/>
      <c r="D2519" s="19" t="n"/>
      <c r="E2519" s="20" t="n"/>
      <c r="F2519" s="20" t="n"/>
      <c r="G2519" s="19" t="n"/>
      <c r="H2519" s="21">
        <f>IF(A2519="","",YEAR(A2519)*100+MONTH(A2519))</f>
        <v/>
      </c>
    </row>
    <row r="2520">
      <c r="A2520" s="18" t="n"/>
      <c r="B2520" s="19" t="n"/>
      <c r="C2520" s="19" t="n"/>
      <c r="D2520" s="19" t="n"/>
      <c r="E2520" s="20" t="n"/>
      <c r="F2520" s="20" t="n"/>
      <c r="G2520" s="19" t="n"/>
      <c r="H2520" s="21">
        <f>IF(A2520="","",YEAR(A2520)*100+MONTH(A2520))</f>
        <v/>
      </c>
    </row>
    <row r="2521">
      <c r="A2521" s="18" t="n"/>
      <c r="B2521" s="19" t="n"/>
      <c r="C2521" s="19" t="n"/>
      <c r="D2521" s="19" t="n"/>
      <c r="E2521" s="20" t="n"/>
      <c r="F2521" s="20" t="n"/>
      <c r="G2521" s="19" t="n"/>
      <c r="H2521" s="21">
        <f>IF(A2521="","",YEAR(A2521)*100+MONTH(A2521))</f>
        <v/>
      </c>
    </row>
    <row r="2522">
      <c r="A2522" s="18" t="n"/>
      <c r="B2522" s="19" t="n"/>
      <c r="C2522" s="19" t="n"/>
      <c r="D2522" s="19" t="n"/>
      <c r="E2522" s="20" t="n"/>
      <c r="F2522" s="20" t="n"/>
      <c r="G2522" s="19" t="n"/>
      <c r="H2522" s="21">
        <f>IF(A2522="","",YEAR(A2522)*100+MONTH(A2522))</f>
        <v/>
      </c>
    </row>
    <row r="2523">
      <c r="A2523" s="18" t="n"/>
      <c r="B2523" s="19" t="n"/>
      <c r="C2523" s="19" t="n"/>
      <c r="D2523" s="19" t="n"/>
      <c r="E2523" s="20" t="n"/>
      <c r="F2523" s="20" t="n"/>
      <c r="G2523" s="19" t="n"/>
      <c r="H2523" s="21">
        <f>IF(A2523="","",YEAR(A2523)*100+MONTH(A2523))</f>
        <v/>
      </c>
    </row>
    <row r="2524">
      <c r="A2524" s="18" t="n"/>
      <c r="B2524" s="19" t="n"/>
      <c r="C2524" s="19" t="n"/>
      <c r="D2524" s="19" t="n"/>
      <c r="E2524" s="20" t="n"/>
      <c r="F2524" s="20" t="n"/>
      <c r="G2524" s="19" t="n"/>
      <c r="H2524" s="21">
        <f>IF(A2524="","",YEAR(A2524)*100+MONTH(A2524))</f>
        <v/>
      </c>
    </row>
    <row r="2525">
      <c r="A2525" s="18" t="n"/>
      <c r="B2525" s="19" t="n"/>
      <c r="C2525" s="19" t="n"/>
      <c r="D2525" s="19" t="n"/>
      <c r="E2525" s="20" t="n"/>
      <c r="F2525" s="20" t="n"/>
      <c r="G2525" s="19" t="n"/>
      <c r="H2525" s="21">
        <f>IF(A2525="","",YEAR(A2525)*100+MONTH(A2525))</f>
        <v/>
      </c>
    </row>
    <row r="2526">
      <c r="A2526" s="18" t="n"/>
      <c r="B2526" s="19" t="n"/>
      <c r="C2526" s="19" t="n"/>
      <c r="D2526" s="19" t="n"/>
      <c r="E2526" s="20" t="n"/>
      <c r="F2526" s="20" t="n"/>
      <c r="G2526" s="19" t="n"/>
      <c r="H2526" s="21">
        <f>IF(A2526="","",YEAR(A2526)*100+MONTH(A2526))</f>
        <v/>
      </c>
    </row>
    <row r="2527">
      <c r="A2527" s="18" t="n"/>
      <c r="B2527" s="19" t="n"/>
      <c r="C2527" s="19" t="n"/>
      <c r="D2527" s="19" t="n"/>
      <c r="E2527" s="20" t="n"/>
      <c r="F2527" s="20" t="n"/>
      <c r="G2527" s="19" t="n"/>
      <c r="H2527" s="21">
        <f>IF(A2527="","",YEAR(A2527)*100+MONTH(A2527))</f>
        <v/>
      </c>
    </row>
    <row r="2528">
      <c r="A2528" s="18" t="n"/>
      <c r="B2528" s="19" t="n"/>
      <c r="C2528" s="19" t="n"/>
      <c r="D2528" s="19" t="n"/>
      <c r="E2528" s="20" t="n"/>
      <c r="F2528" s="20" t="n"/>
      <c r="G2528" s="19" t="n"/>
      <c r="H2528" s="21">
        <f>IF(A2528="","",YEAR(A2528)*100+MONTH(A2528))</f>
        <v/>
      </c>
    </row>
    <row r="2529">
      <c r="A2529" s="18" t="n"/>
      <c r="B2529" s="19" t="n"/>
      <c r="C2529" s="19" t="n"/>
      <c r="D2529" s="19" t="n"/>
      <c r="E2529" s="20" t="n"/>
      <c r="F2529" s="20" t="n"/>
      <c r="G2529" s="19" t="n"/>
      <c r="H2529" s="21">
        <f>IF(A2529="","",YEAR(A2529)*100+MONTH(A2529))</f>
        <v/>
      </c>
    </row>
    <row r="2530">
      <c r="A2530" s="18" t="n"/>
      <c r="B2530" s="19" t="n"/>
      <c r="C2530" s="19" t="n"/>
      <c r="D2530" s="19" t="n"/>
      <c r="E2530" s="20" t="n"/>
      <c r="F2530" s="20" t="n"/>
      <c r="G2530" s="19" t="n"/>
      <c r="H2530" s="21">
        <f>IF(A2530="","",YEAR(A2530)*100+MONTH(A2530))</f>
        <v/>
      </c>
    </row>
    <row r="2531">
      <c r="A2531" s="18" t="n"/>
      <c r="B2531" s="19" t="n"/>
      <c r="C2531" s="19" t="n"/>
      <c r="D2531" s="19" t="n"/>
      <c r="E2531" s="20" t="n"/>
      <c r="F2531" s="20" t="n"/>
      <c r="G2531" s="19" t="n"/>
      <c r="H2531" s="21">
        <f>IF(A2531="","",YEAR(A2531)*100+MONTH(A2531))</f>
        <v/>
      </c>
    </row>
    <row r="2532">
      <c r="A2532" s="18" t="n"/>
      <c r="B2532" s="19" t="n"/>
      <c r="C2532" s="19" t="n"/>
      <c r="D2532" s="19" t="n"/>
      <c r="E2532" s="20" t="n"/>
      <c r="F2532" s="20" t="n"/>
      <c r="G2532" s="19" t="n"/>
      <c r="H2532" s="21">
        <f>IF(A2532="","",YEAR(A2532)*100+MONTH(A2532))</f>
        <v/>
      </c>
    </row>
    <row r="2533">
      <c r="A2533" s="18" t="n"/>
      <c r="B2533" s="19" t="n"/>
      <c r="C2533" s="19" t="n"/>
      <c r="D2533" s="19" t="n"/>
      <c r="E2533" s="20" t="n"/>
      <c r="F2533" s="20" t="n"/>
      <c r="G2533" s="19" t="n"/>
      <c r="H2533" s="21">
        <f>IF(A2533="","",YEAR(A2533)*100+MONTH(A2533))</f>
        <v/>
      </c>
    </row>
    <row r="2534">
      <c r="A2534" s="18" t="n"/>
      <c r="B2534" s="19" t="n"/>
      <c r="C2534" s="19" t="n"/>
      <c r="D2534" s="19" t="n"/>
      <c r="E2534" s="20" t="n"/>
      <c r="F2534" s="20" t="n"/>
      <c r="G2534" s="19" t="n"/>
      <c r="H2534" s="21">
        <f>IF(A2534="","",YEAR(A2534)*100+MONTH(A2534))</f>
        <v/>
      </c>
    </row>
    <row r="2535">
      <c r="A2535" s="18" t="n"/>
      <c r="B2535" s="19" t="n"/>
      <c r="C2535" s="19" t="n"/>
      <c r="D2535" s="19" t="n"/>
      <c r="E2535" s="20" t="n"/>
      <c r="F2535" s="20" t="n"/>
      <c r="G2535" s="19" t="n"/>
      <c r="H2535" s="21">
        <f>IF(A2535="","",YEAR(A2535)*100+MONTH(A2535))</f>
        <v/>
      </c>
    </row>
    <row r="2536">
      <c r="A2536" s="18" t="n"/>
      <c r="B2536" s="19" t="n"/>
      <c r="C2536" s="19" t="n"/>
      <c r="D2536" s="19" t="n"/>
      <c r="E2536" s="20" t="n"/>
      <c r="F2536" s="20" t="n"/>
      <c r="G2536" s="19" t="n"/>
      <c r="H2536" s="21">
        <f>IF(A2536="","",YEAR(A2536)*100+MONTH(A2536))</f>
        <v/>
      </c>
    </row>
    <row r="2537">
      <c r="A2537" s="18" t="n"/>
      <c r="B2537" s="19" t="n"/>
      <c r="C2537" s="19" t="n"/>
      <c r="D2537" s="19" t="n"/>
      <c r="E2537" s="20" t="n"/>
      <c r="F2537" s="20" t="n"/>
      <c r="G2537" s="19" t="n"/>
      <c r="H2537" s="21">
        <f>IF(A2537="","",YEAR(A2537)*100+MONTH(A2537))</f>
        <v/>
      </c>
    </row>
    <row r="2538">
      <c r="A2538" s="18" t="n"/>
      <c r="B2538" s="19" t="n"/>
      <c r="C2538" s="19" t="n"/>
      <c r="D2538" s="19" t="n"/>
      <c r="E2538" s="20" t="n"/>
      <c r="F2538" s="20" t="n"/>
      <c r="G2538" s="19" t="n"/>
      <c r="H2538" s="21">
        <f>IF(A2538="","",YEAR(A2538)*100+MONTH(A2538))</f>
        <v/>
      </c>
    </row>
    <row r="2539">
      <c r="A2539" s="18" t="n"/>
      <c r="B2539" s="19" t="n"/>
      <c r="C2539" s="19" t="n"/>
      <c r="D2539" s="19" t="n"/>
      <c r="E2539" s="20" t="n"/>
      <c r="F2539" s="20" t="n"/>
      <c r="G2539" s="19" t="n"/>
      <c r="H2539" s="21">
        <f>IF(A2539="","",YEAR(A2539)*100+MONTH(A2539))</f>
        <v/>
      </c>
    </row>
    <row r="2540">
      <c r="A2540" s="18" t="n"/>
      <c r="B2540" s="19" t="n"/>
      <c r="C2540" s="19" t="n"/>
      <c r="D2540" s="19" t="n"/>
      <c r="E2540" s="20" t="n"/>
      <c r="F2540" s="20" t="n"/>
      <c r="G2540" s="19" t="n"/>
      <c r="H2540" s="21">
        <f>IF(A2540="","",YEAR(A2540)*100+MONTH(A2540))</f>
        <v/>
      </c>
    </row>
    <row r="2541">
      <c r="A2541" s="18" t="n"/>
      <c r="B2541" s="19" t="n"/>
      <c r="C2541" s="19" t="n"/>
      <c r="D2541" s="19" t="n"/>
      <c r="E2541" s="20" t="n"/>
      <c r="F2541" s="20" t="n"/>
      <c r="G2541" s="19" t="n"/>
      <c r="H2541" s="21">
        <f>IF(A2541="","",YEAR(A2541)*100+MONTH(A2541))</f>
        <v/>
      </c>
    </row>
    <row r="2542">
      <c r="A2542" s="18" t="n"/>
      <c r="B2542" s="19" t="n"/>
      <c r="C2542" s="19" t="n"/>
      <c r="D2542" s="19" t="n"/>
      <c r="E2542" s="20" t="n"/>
      <c r="F2542" s="20" t="n"/>
      <c r="G2542" s="19" t="n"/>
      <c r="H2542" s="21">
        <f>IF(A2542="","",YEAR(A2542)*100+MONTH(A2542))</f>
        <v/>
      </c>
    </row>
    <row r="2543">
      <c r="A2543" s="18" t="n"/>
      <c r="B2543" s="19" t="n"/>
      <c r="C2543" s="19" t="n"/>
      <c r="D2543" s="19" t="n"/>
      <c r="E2543" s="20" t="n"/>
      <c r="F2543" s="20" t="n"/>
      <c r="G2543" s="19" t="n"/>
      <c r="H2543" s="21">
        <f>IF(A2543="","",YEAR(A2543)*100+MONTH(A2543))</f>
        <v/>
      </c>
    </row>
    <row r="2544">
      <c r="A2544" s="18" t="n"/>
      <c r="B2544" s="19" t="n"/>
      <c r="C2544" s="19" t="n"/>
      <c r="D2544" s="19" t="n"/>
      <c r="E2544" s="20" t="n"/>
      <c r="F2544" s="20" t="n"/>
      <c r="G2544" s="19" t="n"/>
      <c r="H2544" s="21">
        <f>IF(A2544="","",YEAR(A2544)*100+MONTH(A2544))</f>
        <v/>
      </c>
    </row>
    <row r="2545">
      <c r="A2545" s="18" t="n"/>
      <c r="B2545" s="19" t="n"/>
      <c r="C2545" s="19" t="n"/>
      <c r="D2545" s="19" t="n"/>
      <c r="E2545" s="20" t="n"/>
      <c r="F2545" s="20" t="n"/>
      <c r="G2545" s="19" t="n"/>
      <c r="H2545" s="21">
        <f>IF(A2545="","",YEAR(A2545)*100+MONTH(A2545))</f>
        <v/>
      </c>
    </row>
    <row r="2546">
      <c r="A2546" s="18" t="n"/>
      <c r="B2546" s="19" t="n"/>
      <c r="C2546" s="19" t="n"/>
      <c r="D2546" s="19" t="n"/>
      <c r="E2546" s="20" t="n"/>
      <c r="F2546" s="20" t="n"/>
      <c r="G2546" s="19" t="n"/>
      <c r="H2546" s="21">
        <f>IF(A2546="","",YEAR(A2546)*100+MONTH(A2546))</f>
        <v/>
      </c>
    </row>
    <row r="2547">
      <c r="A2547" s="18" t="n"/>
      <c r="B2547" s="19" t="n"/>
      <c r="C2547" s="19" t="n"/>
      <c r="D2547" s="19" t="n"/>
      <c r="E2547" s="20" t="n"/>
      <c r="F2547" s="20" t="n"/>
      <c r="G2547" s="19" t="n"/>
      <c r="H2547" s="21">
        <f>IF(A2547="","",YEAR(A2547)*100+MONTH(A2547))</f>
        <v/>
      </c>
    </row>
    <row r="2548">
      <c r="A2548" s="18" t="n"/>
      <c r="B2548" s="19" t="n"/>
      <c r="C2548" s="19" t="n"/>
      <c r="D2548" s="19" t="n"/>
      <c r="E2548" s="20" t="n"/>
      <c r="F2548" s="20" t="n"/>
      <c r="G2548" s="19" t="n"/>
      <c r="H2548" s="21">
        <f>IF(A2548="","",YEAR(A2548)*100+MONTH(A2548))</f>
        <v/>
      </c>
    </row>
    <row r="2549">
      <c r="A2549" s="18" t="n"/>
      <c r="B2549" s="19" t="n"/>
      <c r="C2549" s="19" t="n"/>
      <c r="D2549" s="19" t="n"/>
      <c r="E2549" s="20" t="n"/>
      <c r="F2549" s="20" t="n"/>
      <c r="G2549" s="19" t="n"/>
      <c r="H2549" s="21">
        <f>IF(A2549="","",YEAR(A2549)*100+MONTH(A2549))</f>
        <v/>
      </c>
    </row>
    <row r="2550">
      <c r="A2550" s="18" t="n"/>
      <c r="B2550" s="19" t="n"/>
      <c r="C2550" s="19" t="n"/>
      <c r="D2550" s="19" t="n"/>
      <c r="E2550" s="20" t="n"/>
      <c r="F2550" s="20" t="n"/>
      <c r="G2550" s="19" t="n"/>
      <c r="H2550" s="21">
        <f>IF(A2550="","",YEAR(A2550)*100+MONTH(A2550))</f>
        <v/>
      </c>
    </row>
    <row r="2551">
      <c r="A2551" s="18" t="n"/>
      <c r="B2551" s="19" t="n"/>
      <c r="C2551" s="19" t="n"/>
      <c r="D2551" s="19" t="n"/>
      <c r="E2551" s="20" t="n"/>
      <c r="F2551" s="20" t="n"/>
      <c r="G2551" s="19" t="n"/>
      <c r="H2551" s="21">
        <f>IF(A2551="","",YEAR(A2551)*100+MONTH(A2551))</f>
        <v/>
      </c>
    </row>
    <row r="2552">
      <c r="A2552" s="18" t="n"/>
      <c r="B2552" s="19" t="n"/>
      <c r="C2552" s="19" t="n"/>
      <c r="D2552" s="19" t="n"/>
      <c r="E2552" s="20" t="n"/>
      <c r="F2552" s="20" t="n"/>
      <c r="G2552" s="19" t="n"/>
      <c r="H2552" s="21">
        <f>IF(A2552="","",YEAR(A2552)*100+MONTH(A2552))</f>
        <v/>
      </c>
    </row>
    <row r="2553">
      <c r="A2553" s="18" t="n"/>
      <c r="B2553" s="19" t="n"/>
      <c r="C2553" s="19" t="n"/>
      <c r="D2553" s="19" t="n"/>
      <c r="E2553" s="20" t="n"/>
      <c r="F2553" s="20" t="n"/>
      <c r="G2553" s="19" t="n"/>
      <c r="H2553" s="21">
        <f>IF(A2553="","",YEAR(A2553)*100+MONTH(A2553))</f>
        <v/>
      </c>
    </row>
    <row r="2554">
      <c r="A2554" s="18" t="n"/>
      <c r="B2554" s="19" t="n"/>
      <c r="C2554" s="19" t="n"/>
      <c r="D2554" s="19" t="n"/>
      <c r="E2554" s="20" t="n"/>
      <c r="F2554" s="20" t="n"/>
      <c r="G2554" s="19" t="n"/>
      <c r="H2554" s="21">
        <f>IF(A2554="","",YEAR(A2554)*100+MONTH(A2554))</f>
        <v/>
      </c>
    </row>
    <row r="2555">
      <c r="A2555" s="18" t="n"/>
      <c r="B2555" s="19" t="n"/>
      <c r="C2555" s="19" t="n"/>
      <c r="D2555" s="19" t="n"/>
      <c r="E2555" s="20" t="n"/>
      <c r="F2555" s="20" t="n"/>
      <c r="G2555" s="19" t="n"/>
      <c r="H2555" s="21">
        <f>IF(A2555="","",YEAR(A2555)*100+MONTH(A2555))</f>
        <v/>
      </c>
    </row>
    <row r="2556">
      <c r="A2556" s="18" t="n"/>
      <c r="B2556" s="19" t="n"/>
      <c r="C2556" s="19" t="n"/>
      <c r="D2556" s="19" t="n"/>
      <c r="E2556" s="20" t="n"/>
      <c r="F2556" s="20" t="n"/>
      <c r="G2556" s="19" t="n"/>
      <c r="H2556" s="21">
        <f>IF(A2556="","",YEAR(A2556)*100+MONTH(A2556))</f>
        <v/>
      </c>
    </row>
    <row r="2557">
      <c r="A2557" s="18" t="n"/>
      <c r="B2557" s="19" t="n"/>
      <c r="C2557" s="19" t="n"/>
      <c r="D2557" s="19" t="n"/>
      <c r="E2557" s="20" t="n"/>
      <c r="F2557" s="20" t="n"/>
      <c r="G2557" s="19" t="n"/>
      <c r="H2557" s="21">
        <f>IF(A2557="","",YEAR(A2557)*100+MONTH(A2557))</f>
        <v/>
      </c>
    </row>
    <row r="2558">
      <c r="A2558" s="18" t="n"/>
      <c r="B2558" s="19" t="n"/>
      <c r="C2558" s="19" t="n"/>
      <c r="D2558" s="19" t="n"/>
      <c r="E2558" s="20" t="n"/>
      <c r="F2558" s="20" t="n"/>
      <c r="G2558" s="19" t="n"/>
      <c r="H2558" s="21">
        <f>IF(A2558="","",YEAR(A2558)*100+MONTH(A2558))</f>
        <v/>
      </c>
    </row>
    <row r="2559">
      <c r="A2559" s="18" t="n"/>
      <c r="B2559" s="19" t="n"/>
      <c r="C2559" s="19" t="n"/>
      <c r="D2559" s="19" t="n"/>
      <c r="E2559" s="20" t="n"/>
      <c r="F2559" s="20" t="n"/>
      <c r="G2559" s="19" t="n"/>
      <c r="H2559" s="21">
        <f>IF(A2559="","",YEAR(A2559)*100+MONTH(A2559))</f>
        <v/>
      </c>
    </row>
    <row r="2560">
      <c r="A2560" s="18" t="n"/>
      <c r="B2560" s="19" t="n"/>
      <c r="C2560" s="19" t="n"/>
      <c r="D2560" s="19" t="n"/>
      <c r="E2560" s="20" t="n"/>
      <c r="F2560" s="20" t="n"/>
      <c r="G2560" s="19" t="n"/>
      <c r="H2560" s="21">
        <f>IF(A2560="","",YEAR(A2560)*100+MONTH(A2560))</f>
        <v/>
      </c>
    </row>
    <row r="2561">
      <c r="A2561" s="18" t="n"/>
      <c r="B2561" s="19" t="n"/>
      <c r="C2561" s="19" t="n"/>
      <c r="D2561" s="19" t="n"/>
      <c r="E2561" s="20" t="n"/>
      <c r="F2561" s="20" t="n"/>
      <c r="G2561" s="19" t="n"/>
      <c r="H2561" s="21">
        <f>IF(A2561="","",YEAR(A2561)*100+MONTH(A2561))</f>
        <v/>
      </c>
    </row>
    <row r="2562">
      <c r="A2562" s="18" t="n"/>
      <c r="B2562" s="19" t="n"/>
      <c r="C2562" s="19" t="n"/>
      <c r="D2562" s="19" t="n"/>
      <c r="E2562" s="20" t="n"/>
      <c r="F2562" s="20" t="n"/>
      <c r="G2562" s="19" t="n"/>
      <c r="H2562" s="21">
        <f>IF(A2562="","",YEAR(A2562)*100+MONTH(A2562))</f>
        <v/>
      </c>
    </row>
    <row r="2563">
      <c r="A2563" s="18" t="n"/>
      <c r="B2563" s="19" t="n"/>
      <c r="C2563" s="19" t="n"/>
      <c r="D2563" s="19" t="n"/>
      <c r="E2563" s="20" t="n"/>
      <c r="F2563" s="20" t="n"/>
      <c r="G2563" s="19" t="n"/>
      <c r="H2563" s="21">
        <f>IF(A2563="","",YEAR(A2563)*100+MONTH(A2563))</f>
        <v/>
      </c>
    </row>
    <row r="2564">
      <c r="A2564" s="18" t="n"/>
      <c r="B2564" s="19" t="n"/>
      <c r="C2564" s="19" t="n"/>
      <c r="D2564" s="19" t="n"/>
      <c r="E2564" s="20" t="n"/>
      <c r="F2564" s="20" t="n"/>
      <c r="G2564" s="19" t="n"/>
      <c r="H2564" s="21">
        <f>IF(A2564="","",YEAR(A2564)*100+MONTH(A2564))</f>
        <v/>
      </c>
    </row>
    <row r="2565">
      <c r="A2565" s="18" t="n"/>
      <c r="B2565" s="19" t="n"/>
      <c r="C2565" s="19" t="n"/>
      <c r="D2565" s="19" t="n"/>
      <c r="E2565" s="20" t="n"/>
      <c r="F2565" s="20" t="n"/>
      <c r="G2565" s="19" t="n"/>
      <c r="H2565" s="21">
        <f>IF(A2565="","",YEAR(A2565)*100+MONTH(A2565))</f>
        <v/>
      </c>
    </row>
    <row r="2566">
      <c r="A2566" s="18" t="n"/>
      <c r="B2566" s="19" t="n"/>
      <c r="C2566" s="19" t="n"/>
      <c r="D2566" s="19" t="n"/>
      <c r="E2566" s="20" t="n"/>
      <c r="F2566" s="20" t="n"/>
      <c r="G2566" s="19" t="n"/>
      <c r="H2566" s="21">
        <f>IF(A2566="","",YEAR(A2566)*100+MONTH(A2566))</f>
        <v/>
      </c>
    </row>
    <row r="2567">
      <c r="A2567" s="18" t="n"/>
      <c r="B2567" s="19" t="n"/>
      <c r="C2567" s="19" t="n"/>
      <c r="D2567" s="19" t="n"/>
      <c r="E2567" s="20" t="n"/>
      <c r="F2567" s="20" t="n"/>
      <c r="G2567" s="19" t="n"/>
      <c r="H2567" s="21">
        <f>IF(A2567="","",YEAR(A2567)*100+MONTH(A2567))</f>
        <v/>
      </c>
    </row>
    <row r="2568">
      <c r="A2568" s="18" t="n"/>
      <c r="B2568" s="19" t="n"/>
      <c r="C2568" s="19" t="n"/>
      <c r="D2568" s="19" t="n"/>
      <c r="E2568" s="20" t="n"/>
      <c r="F2568" s="20" t="n"/>
      <c r="G2568" s="19" t="n"/>
      <c r="H2568" s="21">
        <f>IF(A2568="","",YEAR(A2568)*100+MONTH(A2568))</f>
        <v/>
      </c>
    </row>
    <row r="2569">
      <c r="A2569" s="18" t="n"/>
      <c r="B2569" s="19" t="n"/>
      <c r="C2569" s="19" t="n"/>
      <c r="D2569" s="19" t="n"/>
      <c r="E2569" s="20" t="n"/>
      <c r="F2569" s="20" t="n"/>
      <c r="G2569" s="19" t="n"/>
      <c r="H2569" s="21">
        <f>IF(A2569="","",YEAR(A2569)*100+MONTH(A2569))</f>
        <v/>
      </c>
    </row>
    <row r="2570">
      <c r="A2570" s="18" t="n"/>
      <c r="B2570" s="19" t="n"/>
      <c r="C2570" s="19" t="n"/>
      <c r="D2570" s="19" t="n"/>
      <c r="E2570" s="20" t="n"/>
      <c r="F2570" s="20" t="n"/>
      <c r="G2570" s="19" t="n"/>
      <c r="H2570" s="21">
        <f>IF(A2570="","",YEAR(A2570)*100+MONTH(A2570))</f>
        <v/>
      </c>
    </row>
    <row r="2571">
      <c r="A2571" s="18" t="n"/>
      <c r="B2571" s="19" t="n"/>
      <c r="C2571" s="19" t="n"/>
      <c r="D2571" s="19" t="n"/>
      <c r="E2571" s="20" t="n"/>
      <c r="F2571" s="20" t="n"/>
      <c r="G2571" s="19" t="n"/>
      <c r="H2571" s="21">
        <f>IF(A2571="","",YEAR(A2571)*100+MONTH(A2571))</f>
        <v/>
      </c>
    </row>
    <row r="2572">
      <c r="A2572" s="18" t="n"/>
      <c r="B2572" s="19" t="n"/>
      <c r="C2572" s="19" t="n"/>
      <c r="D2572" s="19" t="n"/>
      <c r="E2572" s="20" t="n"/>
      <c r="F2572" s="20" t="n"/>
      <c r="G2572" s="19" t="n"/>
      <c r="H2572" s="21">
        <f>IF(A2572="","",YEAR(A2572)*100+MONTH(A2572))</f>
        <v/>
      </c>
    </row>
    <row r="2573">
      <c r="A2573" s="18" t="n"/>
      <c r="B2573" s="19" t="n"/>
      <c r="C2573" s="19" t="n"/>
      <c r="D2573" s="19" t="n"/>
      <c r="E2573" s="20" t="n"/>
      <c r="F2573" s="20" t="n"/>
      <c r="G2573" s="19" t="n"/>
      <c r="H2573" s="21">
        <f>IF(A2573="","",YEAR(A2573)*100+MONTH(A2573))</f>
        <v/>
      </c>
    </row>
    <row r="2574">
      <c r="A2574" s="18" t="n"/>
      <c r="B2574" s="19" t="n"/>
      <c r="C2574" s="19" t="n"/>
      <c r="D2574" s="19" t="n"/>
      <c r="E2574" s="20" t="n"/>
      <c r="F2574" s="20" t="n"/>
      <c r="G2574" s="19" t="n"/>
      <c r="H2574" s="21">
        <f>IF(A2574="","",YEAR(A2574)*100+MONTH(A2574))</f>
        <v/>
      </c>
    </row>
    <row r="2575">
      <c r="A2575" s="18" t="n"/>
      <c r="B2575" s="19" t="n"/>
      <c r="C2575" s="19" t="n"/>
      <c r="D2575" s="19" t="n"/>
      <c r="E2575" s="20" t="n"/>
      <c r="F2575" s="20" t="n"/>
      <c r="G2575" s="19" t="n"/>
      <c r="H2575" s="21">
        <f>IF(A2575="","",YEAR(A2575)*100+MONTH(A2575))</f>
        <v/>
      </c>
    </row>
    <row r="2576">
      <c r="A2576" s="18" t="n"/>
      <c r="B2576" s="19" t="n"/>
      <c r="C2576" s="19" t="n"/>
      <c r="D2576" s="19" t="n"/>
      <c r="E2576" s="20" t="n"/>
      <c r="F2576" s="20" t="n"/>
      <c r="G2576" s="19" t="n"/>
      <c r="H2576" s="21">
        <f>IF(A2576="","",YEAR(A2576)*100+MONTH(A2576))</f>
        <v/>
      </c>
    </row>
    <row r="2577">
      <c r="A2577" s="18" t="n"/>
      <c r="B2577" s="19" t="n"/>
      <c r="C2577" s="19" t="n"/>
      <c r="D2577" s="19" t="n"/>
      <c r="E2577" s="20" t="n"/>
      <c r="F2577" s="20" t="n"/>
      <c r="G2577" s="19" t="n"/>
      <c r="H2577" s="21">
        <f>IF(A2577="","",YEAR(A2577)*100+MONTH(A2577))</f>
        <v/>
      </c>
    </row>
    <row r="2578">
      <c r="A2578" s="18" t="n"/>
      <c r="B2578" s="19" t="n"/>
      <c r="C2578" s="19" t="n"/>
      <c r="D2578" s="19" t="n"/>
      <c r="E2578" s="20" t="n"/>
      <c r="F2578" s="20" t="n"/>
      <c r="G2578" s="19" t="n"/>
      <c r="H2578" s="21">
        <f>IF(A2578="","",YEAR(A2578)*100+MONTH(A2578))</f>
        <v/>
      </c>
    </row>
    <row r="2579">
      <c r="A2579" s="18" t="n"/>
      <c r="B2579" s="19" t="n"/>
      <c r="C2579" s="19" t="n"/>
      <c r="D2579" s="19" t="n"/>
      <c r="E2579" s="20" t="n"/>
      <c r="F2579" s="20" t="n"/>
      <c r="G2579" s="19" t="n"/>
      <c r="H2579" s="21">
        <f>IF(A2579="","",YEAR(A2579)*100+MONTH(A2579))</f>
        <v/>
      </c>
    </row>
    <row r="2580">
      <c r="A2580" s="18" t="n"/>
      <c r="B2580" s="19" t="n"/>
      <c r="C2580" s="19" t="n"/>
      <c r="D2580" s="19" t="n"/>
      <c r="E2580" s="20" t="n"/>
      <c r="F2580" s="20" t="n"/>
      <c r="G2580" s="19" t="n"/>
      <c r="H2580" s="21">
        <f>IF(A2580="","",YEAR(A2580)*100+MONTH(A2580))</f>
        <v/>
      </c>
    </row>
    <row r="2581">
      <c r="A2581" s="18" t="n"/>
      <c r="B2581" s="19" t="n"/>
      <c r="C2581" s="19" t="n"/>
      <c r="D2581" s="19" t="n"/>
      <c r="E2581" s="20" t="n"/>
      <c r="F2581" s="20" t="n"/>
      <c r="G2581" s="19" t="n"/>
      <c r="H2581" s="21">
        <f>IF(A2581="","",YEAR(A2581)*100+MONTH(A2581))</f>
        <v/>
      </c>
    </row>
    <row r="2582">
      <c r="A2582" s="18" t="n"/>
      <c r="B2582" s="19" t="n"/>
      <c r="C2582" s="19" t="n"/>
      <c r="D2582" s="19" t="n"/>
      <c r="E2582" s="20" t="n"/>
      <c r="F2582" s="20" t="n"/>
      <c r="G2582" s="19" t="n"/>
      <c r="H2582" s="21">
        <f>IF(A2582="","",YEAR(A2582)*100+MONTH(A2582))</f>
        <v/>
      </c>
    </row>
    <row r="2583">
      <c r="A2583" s="18" t="n"/>
      <c r="B2583" s="19" t="n"/>
      <c r="C2583" s="19" t="n"/>
      <c r="D2583" s="19" t="n"/>
      <c r="E2583" s="20" t="n"/>
      <c r="F2583" s="20" t="n"/>
      <c r="G2583" s="19" t="n"/>
      <c r="H2583" s="21">
        <f>IF(A2583="","",YEAR(A2583)*100+MONTH(A2583))</f>
        <v/>
      </c>
    </row>
    <row r="2584">
      <c r="A2584" s="18" t="n"/>
      <c r="B2584" s="19" t="n"/>
      <c r="C2584" s="19" t="n"/>
      <c r="D2584" s="19" t="n"/>
      <c r="E2584" s="20" t="n"/>
      <c r="F2584" s="20" t="n"/>
      <c r="G2584" s="19" t="n"/>
      <c r="H2584" s="21">
        <f>IF(A2584="","",YEAR(A2584)*100+MONTH(A2584))</f>
        <v/>
      </c>
    </row>
    <row r="2585">
      <c r="A2585" s="18" t="n"/>
      <c r="B2585" s="19" t="n"/>
      <c r="C2585" s="19" t="n"/>
      <c r="D2585" s="19" t="n"/>
      <c r="E2585" s="20" t="n"/>
      <c r="F2585" s="20" t="n"/>
      <c r="G2585" s="19" t="n"/>
      <c r="H2585" s="21">
        <f>IF(A2585="","",YEAR(A2585)*100+MONTH(A2585))</f>
        <v/>
      </c>
    </row>
    <row r="2586">
      <c r="A2586" s="18" t="n"/>
      <c r="B2586" s="19" t="n"/>
      <c r="C2586" s="19" t="n"/>
      <c r="D2586" s="19" t="n"/>
      <c r="E2586" s="20" t="n"/>
      <c r="F2586" s="20" t="n"/>
      <c r="G2586" s="19" t="n"/>
      <c r="H2586" s="21">
        <f>IF(A2586="","",YEAR(A2586)*100+MONTH(A2586))</f>
        <v/>
      </c>
    </row>
    <row r="2587">
      <c r="A2587" s="18" t="n"/>
      <c r="B2587" s="19" t="n"/>
      <c r="C2587" s="19" t="n"/>
      <c r="D2587" s="19" t="n"/>
      <c r="E2587" s="20" t="n"/>
      <c r="F2587" s="20" t="n"/>
      <c r="G2587" s="19" t="n"/>
      <c r="H2587" s="21">
        <f>IF(A2587="","",YEAR(A2587)*100+MONTH(A2587))</f>
        <v/>
      </c>
    </row>
    <row r="2588">
      <c r="A2588" s="18" t="n"/>
      <c r="B2588" s="19" t="n"/>
      <c r="C2588" s="19" t="n"/>
      <c r="D2588" s="19" t="n"/>
      <c r="E2588" s="20" t="n"/>
      <c r="F2588" s="20" t="n"/>
      <c r="G2588" s="19" t="n"/>
      <c r="H2588" s="21">
        <f>IF(A2588="","",YEAR(A2588)*100+MONTH(A2588))</f>
        <v/>
      </c>
    </row>
    <row r="2589">
      <c r="A2589" s="18" t="n"/>
      <c r="B2589" s="19" t="n"/>
      <c r="C2589" s="19" t="n"/>
      <c r="D2589" s="19" t="n"/>
      <c r="E2589" s="20" t="n"/>
      <c r="F2589" s="20" t="n"/>
      <c r="G2589" s="19" t="n"/>
      <c r="H2589" s="21">
        <f>IF(A2589="","",YEAR(A2589)*100+MONTH(A2589))</f>
        <v/>
      </c>
    </row>
    <row r="2590">
      <c r="A2590" s="18" t="n"/>
      <c r="B2590" s="19" t="n"/>
      <c r="C2590" s="19" t="n"/>
      <c r="D2590" s="19" t="n"/>
      <c r="E2590" s="20" t="n"/>
      <c r="F2590" s="20" t="n"/>
      <c r="G2590" s="19" t="n"/>
      <c r="H2590" s="21">
        <f>IF(A2590="","",YEAR(A2590)*100+MONTH(A2590))</f>
        <v/>
      </c>
    </row>
    <row r="2591">
      <c r="A2591" s="18" t="n"/>
      <c r="B2591" s="19" t="n"/>
      <c r="C2591" s="19" t="n"/>
      <c r="D2591" s="19" t="n"/>
      <c r="E2591" s="20" t="n"/>
      <c r="F2591" s="20" t="n"/>
      <c r="G2591" s="19" t="n"/>
      <c r="H2591" s="21">
        <f>IF(A2591="","",YEAR(A2591)*100+MONTH(A2591))</f>
        <v/>
      </c>
    </row>
    <row r="2592">
      <c r="A2592" s="18" t="n"/>
      <c r="B2592" s="19" t="n"/>
      <c r="C2592" s="19" t="n"/>
      <c r="D2592" s="19" t="n"/>
      <c r="E2592" s="20" t="n"/>
      <c r="F2592" s="20" t="n"/>
      <c r="G2592" s="19" t="n"/>
      <c r="H2592" s="21">
        <f>IF(A2592="","",YEAR(A2592)*100+MONTH(A2592))</f>
        <v/>
      </c>
    </row>
    <row r="2593">
      <c r="A2593" s="18" t="n"/>
      <c r="B2593" s="19" t="n"/>
      <c r="C2593" s="19" t="n"/>
      <c r="D2593" s="19" t="n"/>
      <c r="E2593" s="20" t="n"/>
      <c r="F2593" s="20" t="n"/>
      <c r="G2593" s="19" t="n"/>
      <c r="H2593" s="21">
        <f>IF(A2593="","",YEAR(A2593)*100+MONTH(A2593))</f>
        <v/>
      </c>
    </row>
    <row r="2594">
      <c r="A2594" s="18" t="n"/>
      <c r="B2594" s="19" t="n"/>
      <c r="C2594" s="19" t="n"/>
      <c r="D2594" s="19" t="n"/>
      <c r="E2594" s="20" t="n"/>
      <c r="F2594" s="20" t="n"/>
      <c r="G2594" s="19" t="n"/>
      <c r="H2594" s="21">
        <f>IF(A2594="","",YEAR(A2594)*100+MONTH(A2594))</f>
        <v/>
      </c>
    </row>
    <row r="2595">
      <c r="A2595" s="18" t="n"/>
      <c r="B2595" s="19" t="n"/>
      <c r="C2595" s="19" t="n"/>
      <c r="D2595" s="19" t="n"/>
      <c r="E2595" s="20" t="n"/>
      <c r="F2595" s="20" t="n"/>
      <c r="G2595" s="19" t="n"/>
      <c r="H2595" s="21">
        <f>IF(A2595="","",YEAR(A2595)*100+MONTH(A2595))</f>
        <v/>
      </c>
    </row>
    <row r="2596">
      <c r="A2596" s="18" t="n"/>
      <c r="B2596" s="19" t="n"/>
      <c r="C2596" s="19" t="n"/>
      <c r="D2596" s="19" t="n"/>
      <c r="E2596" s="20" t="n"/>
      <c r="F2596" s="20" t="n"/>
      <c r="G2596" s="19" t="n"/>
      <c r="H2596" s="21">
        <f>IF(A2596="","",YEAR(A2596)*100+MONTH(A2596))</f>
        <v/>
      </c>
    </row>
    <row r="2597">
      <c r="A2597" s="18" t="n"/>
      <c r="B2597" s="19" t="n"/>
      <c r="C2597" s="19" t="n"/>
      <c r="D2597" s="19" t="n"/>
      <c r="E2597" s="20" t="n"/>
      <c r="F2597" s="20" t="n"/>
      <c r="G2597" s="19" t="n"/>
      <c r="H2597" s="21">
        <f>IF(A2597="","",YEAR(A2597)*100+MONTH(A2597))</f>
        <v/>
      </c>
    </row>
    <row r="2598">
      <c r="A2598" s="18" t="n"/>
      <c r="B2598" s="19" t="n"/>
      <c r="C2598" s="19" t="n"/>
      <c r="D2598" s="19" t="n"/>
      <c r="E2598" s="20" t="n"/>
      <c r="F2598" s="20" t="n"/>
      <c r="G2598" s="19" t="n"/>
      <c r="H2598" s="21">
        <f>IF(A2598="","",YEAR(A2598)*100+MONTH(A2598))</f>
        <v/>
      </c>
    </row>
    <row r="2599">
      <c r="A2599" s="18" t="n"/>
      <c r="B2599" s="19" t="n"/>
      <c r="C2599" s="19" t="n"/>
      <c r="D2599" s="19" t="n"/>
      <c r="E2599" s="20" t="n"/>
      <c r="F2599" s="20" t="n"/>
      <c r="G2599" s="19" t="n"/>
      <c r="H2599" s="21">
        <f>IF(A2599="","",YEAR(A2599)*100+MONTH(A2599))</f>
        <v/>
      </c>
    </row>
    <row r="2600">
      <c r="A2600" s="18" t="n"/>
      <c r="B2600" s="19" t="n"/>
      <c r="C2600" s="19" t="n"/>
      <c r="D2600" s="19" t="n"/>
      <c r="E2600" s="20" t="n"/>
      <c r="F2600" s="20" t="n"/>
      <c r="G2600" s="19" t="n"/>
      <c r="H2600" s="21">
        <f>IF(A2600="","",YEAR(A2600)*100+MONTH(A2600))</f>
        <v/>
      </c>
    </row>
    <row r="2601">
      <c r="A2601" s="18" t="n"/>
      <c r="B2601" s="19" t="n"/>
      <c r="C2601" s="19" t="n"/>
      <c r="D2601" s="19" t="n"/>
      <c r="E2601" s="20" t="n"/>
      <c r="F2601" s="20" t="n"/>
      <c r="G2601" s="19" t="n"/>
      <c r="H2601" s="21">
        <f>IF(A2601="","",YEAR(A2601)*100+MONTH(A2601))</f>
        <v/>
      </c>
    </row>
    <row r="2602">
      <c r="A2602" s="18" t="n"/>
      <c r="B2602" s="19" t="n"/>
      <c r="C2602" s="19" t="n"/>
      <c r="D2602" s="19" t="n"/>
      <c r="E2602" s="20" t="n"/>
      <c r="F2602" s="20" t="n"/>
      <c r="G2602" s="19" t="n"/>
      <c r="H2602" s="21">
        <f>IF(A2602="","",YEAR(A2602)*100+MONTH(A2602))</f>
        <v/>
      </c>
    </row>
    <row r="2603">
      <c r="A2603" s="18" t="n"/>
      <c r="B2603" s="19" t="n"/>
      <c r="C2603" s="19" t="n"/>
      <c r="D2603" s="19" t="n"/>
      <c r="E2603" s="20" t="n"/>
      <c r="F2603" s="20" t="n"/>
      <c r="G2603" s="19" t="n"/>
      <c r="H2603" s="21">
        <f>IF(A2603="","",YEAR(A2603)*100+MONTH(A2603))</f>
        <v/>
      </c>
    </row>
    <row r="2604">
      <c r="A2604" s="18" t="n"/>
      <c r="B2604" s="19" t="n"/>
      <c r="C2604" s="19" t="n"/>
      <c r="D2604" s="19" t="n"/>
      <c r="E2604" s="20" t="n"/>
      <c r="F2604" s="20" t="n"/>
      <c r="G2604" s="19" t="n"/>
      <c r="H2604" s="21">
        <f>IF(A2604="","",YEAR(A2604)*100+MONTH(A2604))</f>
        <v/>
      </c>
    </row>
    <row r="2605">
      <c r="A2605" s="18" t="n"/>
      <c r="B2605" s="19" t="n"/>
      <c r="C2605" s="19" t="n"/>
      <c r="D2605" s="19" t="n"/>
      <c r="E2605" s="20" t="n"/>
      <c r="F2605" s="20" t="n"/>
      <c r="G2605" s="19" t="n"/>
      <c r="H2605" s="21">
        <f>IF(A2605="","",YEAR(A2605)*100+MONTH(A2605))</f>
        <v/>
      </c>
    </row>
    <row r="2606">
      <c r="A2606" s="18" t="n"/>
      <c r="B2606" s="19" t="n"/>
      <c r="C2606" s="19" t="n"/>
      <c r="D2606" s="19" t="n"/>
      <c r="E2606" s="20" t="n"/>
      <c r="F2606" s="20" t="n"/>
      <c r="G2606" s="19" t="n"/>
      <c r="H2606" s="21">
        <f>IF(A2606="","",YEAR(A2606)*100+MONTH(A2606))</f>
        <v/>
      </c>
    </row>
    <row r="2607">
      <c r="A2607" s="18" t="n"/>
      <c r="B2607" s="19" t="n"/>
      <c r="C2607" s="19" t="n"/>
      <c r="D2607" s="19" t="n"/>
      <c r="E2607" s="20" t="n"/>
      <c r="F2607" s="20" t="n"/>
      <c r="G2607" s="19" t="n"/>
      <c r="H2607" s="21">
        <f>IF(A2607="","",YEAR(A2607)*100+MONTH(A2607))</f>
        <v/>
      </c>
    </row>
    <row r="2608">
      <c r="A2608" s="18" t="n"/>
      <c r="B2608" s="19" t="n"/>
      <c r="C2608" s="19" t="n"/>
      <c r="D2608" s="19" t="n"/>
      <c r="E2608" s="20" t="n"/>
      <c r="F2608" s="20" t="n"/>
      <c r="G2608" s="19" t="n"/>
      <c r="H2608" s="21">
        <f>IF(A2608="","",YEAR(A2608)*100+MONTH(A2608))</f>
        <v/>
      </c>
    </row>
    <row r="2609">
      <c r="A2609" s="18" t="n"/>
      <c r="B2609" s="19" t="n"/>
      <c r="C2609" s="19" t="n"/>
      <c r="D2609" s="19" t="n"/>
      <c r="E2609" s="20" t="n"/>
      <c r="F2609" s="20" t="n"/>
      <c r="G2609" s="19" t="n"/>
      <c r="H2609" s="21">
        <f>IF(A2609="","",YEAR(A2609)*100+MONTH(A2609))</f>
        <v/>
      </c>
    </row>
    <row r="2610">
      <c r="A2610" s="18" t="n"/>
      <c r="B2610" s="19" t="n"/>
      <c r="C2610" s="19" t="n"/>
      <c r="D2610" s="19" t="n"/>
      <c r="E2610" s="20" t="n"/>
      <c r="F2610" s="20" t="n"/>
      <c r="G2610" s="19" t="n"/>
      <c r="H2610" s="21">
        <f>IF(A2610="","",YEAR(A2610)*100+MONTH(A2610))</f>
        <v/>
      </c>
    </row>
    <row r="2611">
      <c r="A2611" s="18" t="n"/>
      <c r="B2611" s="19" t="n"/>
      <c r="C2611" s="19" t="n"/>
      <c r="D2611" s="19" t="n"/>
      <c r="E2611" s="20" t="n"/>
      <c r="F2611" s="20" t="n"/>
      <c r="G2611" s="19" t="n"/>
      <c r="H2611" s="21">
        <f>IF(A2611="","",YEAR(A2611)*100+MONTH(A2611))</f>
        <v/>
      </c>
    </row>
    <row r="2612">
      <c r="A2612" s="18" t="n"/>
      <c r="B2612" s="19" t="n"/>
      <c r="C2612" s="19" t="n"/>
      <c r="D2612" s="19" t="n"/>
      <c r="E2612" s="20" t="n"/>
      <c r="F2612" s="20" t="n"/>
      <c r="G2612" s="19" t="n"/>
      <c r="H2612" s="21">
        <f>IF(A2612="","",YEAR(A2612)*100+MONTH(A2612))</f>
        <v/>
      </c>
    </row>
    <row r="2613">
      <c r="A2613" s="18" t="n"/>
      <c r="B2613" s="19" t="n"/>
      <c r="C2613" s="19" t="n"/>
      <c r="D2613" s="19" t="n"/>
      <c r="E2613" s="20" t="n"/>
      <c r="F2613" s="20" t="n"/>
      <c r="G2613" s="19" t="n"/>
      <c r="H2613" s="21">
        <f>IF(A2613="","",YEAR(A2613)*100+MONTH(A2613))</f>
        <v/>
      </c>
    </row>
    <row r="2614">
      <c r="A2614" s="18" t="n"/>
      <c r="B2614" s="19" t="n"/>
      <c r="C2614" s="19" t="n"/>
      <c r="D2614" s="19" t="n"/>
      <c r="E2614" s="20" t="n"/>
      <c r="F2614" s="20" t="n"/>
      <c r="G2614" s="19" t="n"/>
      <c r="H2614" s="21">
        <f>IF(A2614="","",YEAR(A2614)*100+MONTH(A2614))</f>
        <v/>
      </c>
    </row>
    <row r="2615">
      <c r="A2615" s="18" t="n"/>
      <c r="B2615" s="19" t="n"/>
      <c r="C2615" s="19" t="n"/>
      <c r="D2615" s="19" t="n"/>
      <c r="E2615" s="20" t="n"/>
      <c r="F2615" s="20" t="n"/>
      <c r="G2615" s="19" t="n"/>
      <c r="H2615" s="21">
        <f>IF(A2615="","",YEAR(A2615)*100+MONTH(A2615))</f>
        <v/>
      </c>
    </row>
    <row r="2616">
      <c r="A2616" s="18" t="n"/>
      <c r="B2616" s="19" t="n"/>
      <c r="C2616" s="19" t="n"/>
      <c r="D2616" s="19" t="n"/>
      <c r="E2616" s="20" t="n"/>
      <c r="F2616" s="20" t="n"/>
      <c r="G2616" s="19" t="n"/>
      <c r="H2616" s="21">
        <f>IF(A2616="","",YEAR(A2616)*100+MONTH(A2616))</f>
        <v/>
      </c>
    </row>
    <row r="2617">
      <c r="A2617" s="18" t="n"/>
      <c r="B2617" s="19" t="n"/>
      <c r="C2617" s="19" t="n"/>
      <c r="D2617" s="19" t="n"/>
      <c r="E2617" s="20" t="n"/>
      <c r="F2617" s="20" t="n"/>
      <c r="G2617" s="19" t="n"/>
      <c r="H2617" s="21">
        <f>IF(A2617="","",YEAR(A2617)*100+MONTH(A2617))</f>
        <v/>
      </c>
    </row>
    <row r="2618">
      <c r="A2618" s="18" t="n"/>
      <c r="B2618" s="19" t="n"/>
      <c r="C2618" s="19" t="n"/>
      <c r="D2618" s="19" t="n"/>
      <c r="E2618" s="20" t="n"/>
      <c r="F2618" s="20" t="n"/>
      <c r="G2618" s="19" t="n"/>
      <c r="H2618" s="21">
        <f>IF(A2618="","",YEAR(A2618)*100+MONTH(A2618))</f>
        <v/>
      </c>
    </row>
    <row r="2619">
      <c r="A2619" s="18" t="n"/>
      <c r="B2619" s="19" t="n"/>
      <c r="C2619" s="19" t="n"/>
      <c r="D2619" s="19" t="n"/>
      <c r="E2619" s="20" t="n"/>
      <c r="F2619" s="20" t="n"/>
      <c r="G2619" s="19" t="n"/>
      <c r="H2619" s="21">
        <f>IF(A2619="","",YEAR(A2619)*100+MONTH(A2619))</f>
        <v/>
      </c>
    </row>
    <row r="2620">
      <c r="A2620" s="18" t="n"/>
      <c r="B2620" s="19" t="n"/>
      <c r="C2620" s="19" t="n"/>
      <c r="D2620" s="19" t="n"/>
      <c r="E2620" s="20" t="n"/>
      <c r="F2620" s="20" t="n"/>
      <c r="G2620" s="19" t="n"/>
      <c r="H2620" s="21">
        <f>IF(A2620="","",YEAR(A2620)*100+MONTH(A2620))</f>
        <v/>
      </c>
    </row>
    <row r="2621">
      <c r="A2621" s="18" t="n"/>
      <c r="B2621" s="19" t="n"/>
      <c r="C2621" s="19" t="n"/>
      <c r="D2621" s="19" t="n"/>
      <c r="E2621" s="20" t="n"/>
      <c r="F2621" s="20" t="n"/>
      <c r="G2621" s="19" t="n"/>
      <c r="H2621" s="21">
        <f>IF(A2621="","",YEAR(A2621)*100+MONTH(A2621))</f>
        <v/>
      </c>
    </row>
    <row r="2622">
      <c r="A2622" s="18" t="n"/>
      <c r="B2622" s="19" t="n"/>
      <c r="C2622" s="19" t="n"/>
      <c r="D2622" s="19" t="n"/>
      <c r="E2622" s="20" t="n"/>
      <c r="F2622" s="20" t="n"/>
      <c r="G2622" s="19" t="n"/>
      <c r="H2622" s="21">
        <f>IF(A2622="","",YEAR(A2622)*100+MONTH(A2622))</f>
        <v/>
      </c>
    </row>
    <row r="2623">
      <c r="A2623" s="18" t="n"/>
      <c r="B2623" s="19" t="n"/>
      <c r="C2623" s="19" t="n"/>
      <c r="D2623" s="19" t="n"/>
      <c r="E2623" s="20" t="n"/>
      <c r="F2623" s="20" t="n"/>
      <c r="G2623" s="19" t="n"/>
      <c r="H2623" s="21">
        <f>IF(A2623="","",YEAR(A2623)*100+MONTH(A2623))</f>
        <v/>
      </c>
    </row>
    <row r="2624">
      <c r="A2624" s="18" t="n"/>
      <c r="B2624" s="19" t="n"/>
      <c r="C2624" s="19" t="n"/>
      <c r="D2624" s="19" t="n"/>
      <c r="E2624" s="20" t="n"/>
      <c r="F2624" s="20" t="n"/>
      <c r="G2624" s="19" t="n"/>
      <c r="H2624" s="21">
        <f>IF(A2624="","",YEAR(A2624)*100+MONTH(A2624))</f>
        <v/>
      </c>
    </row>
    <row r="2625">
      <c r="A2625" s="18" t="n"/>
      <c r="B2625" s="19" t="n"/>
      <c r="C2625" s="19" t="n"/>
      <c r="D2625" s="19" t="n"/>
      <c r="E2625" s="20" t="n"/>
      <c r="F2625" s="20" t="n"/>
      <c r="G2625" s="19" t="n"/>
      <c r="H2625" s="21">
        <f>IF(A2625="","",YEAR(A2625)*100+MONTH(A2625))</f>
        <v/>
      </c>
    </row>
    <row r="2626">
      <c r="A2626" s="18" t="n"/>
      <c r="B2626" s="19" t="n"/>
      <c r="C2626" s="19" t="n"/>
      <c r="D2626" s="19" t="n"/>
      <c r="E2626" s="20" t="n"/>
      <c r="F2626" s="20" t="n"/>
      <c r="G2626" s="19" t="n"/>
      <c r="H2626" s="21">
        <f>IF(A2626="","",YEAR(A2626)*100+MONTH(A2626))</f>
        <v/>
      </c>
    </row>
    <row r="2627">
      <c r="A2627" s="18" t="n"/>
      <c r="B2627" s="19" t="n"/>
      <c r="C2627" s="19" t="n"/>
      <c r="D2627" s="19" t="n"/>
      <c r="E2627" s="20" t="n"/>
      <c r="F2627" s="20" t="n"/>
      <c r="G2627" s="19" t="n"/>
      <c r="H2627" s="21">
        <f>IF(A2627="","",YEAR(A2627)*100+MONTH(A2627))</f>
        <v/>
      </c>
    </row>
    <row r="2628">
      <c r="A2628" s="18" t="n"/>
      <c r="B2628" s="19" t="n"/>
      <c r="C2628" s="19" t="n"/>
      <c r="D2628" s="19" t="n"/>
      <c r="E2628" s="20" t="n"/>
      <c r="F2628" s="20" t="n"/>
      <c r="G2628" s="19" t="n"/>
      <c r="H2628" s="21">
        <f>IF(A2628="","",YEAR(A2628)*100+MONTH(A2628))</f>
        <v/>
      </c>
    </row>
    <row r="2629">
      <c r="A2629" s="18" t="n"/>
      <c r="B2629" s="19" t="n"/>
      <c r="C2629" s="19" t="n"/>
      <c r="D2629" s="19" t="n"/>
      <c r="E2629" s="20" t="n"/>
      <c r="F2629" s="20" t="n"/>
      <c r="G2629" s="19" t="n"/>
      <c r="H2629" s="21">
        <f>IF(A2629="","",YEAR(A2629)*100+MONTH(A2629))</f>
        <v/>
      </c>
    </row>
    <row r="2630">
      <c r="A2630" s="18" t="n"/>
      <c r="B2630" s="19" t="n"/>
      <c r="C2630" s="19" t="n"/>
      <c r="D2630" s="19" t="n"/>
      <c r="E2630" s="20" t="n"/>
      <c r="F2630" s="20" t="n"/>
      <c r="G2630" s="19" t="n"/>
      <c r="H2630" s="21">
        <f>IF(A2630="","",YEAR(A2630)*100+MONTH(A2630))</f>
        <v/>
      </c>
    </row>
    <row r="2631">
      <c r="A2631" s="18" t="n"/>
      <c r="B2631" s="19" t="n"/>
      <c r="C2631" s="19" t="n"/>
      <c r="D2631" s="19" t="n"/>
      <c r="E2631" s="20" t="n"/>
      <c r="F2631" s="20" t="n"/>
      <c r="G2631" s="19" t="n"/>
      <c r="H2631" s="21">
        <f>IF(A2631="","",YEAR(A2631)*100+MONTH(A2631))</f>
        <v/>
      </c>
    </row>
    <row r="2632">
      <c r="A2632" s="18" t="n"/>
      <c r="B2632" s="19" t="n"/>
      <c r="C2632" s="19" t="n"/>
      <c r="D2632" s="19" t="n"/>
      <c r="E2632" s="20" t="n"/>
      <c r="F2632" s="20" t="n"/>
      <c r="G2632" s="19" t="n"/>
      <c r="H2632" s="21">
        <f>IF(A2632="","",YEAR(A2632)*100+MONTH(A2632))</f>
        <v/>
      </c>
    </row>
    <row r="2633">
      <c r="A2633" s="18" t="n"/>
      <c r="B2633" s="19" t="n"/>
      <c r="C2633" s="19" t="n"/>
      <c r="D2633" s="19" t="n"/>
      <c r="E2633" s="20" t="n"/>
      <c r="F2633" s="20" t="n"/>
      <c r="G2633" s="19" t="n"/>
      <c r="H2633" s="21">
        <f>IF(A2633="","",YEAR(A2633)*100+MONTH(A2633))</f>
        <v/>
      </c>
    </row>
    <row r="2634">
      <c r="A2634" s="18" t="n"/>
      <c r="B2634" s="19" t="n"/>
      <c r="C2634" s="19" t="n"/>
      <c r="D2634" s="19" t="n"/>
      <c r="E2634" s="20" t="n"/>
      <c r="F2634" s="20" t="n"/>
      <c r="G2634" s="19" t="n"/>
      <c r="H2634" s="21">
        <f>IF(A2634="","",YEAR(A2634)*100+MONTH(A2634))</f>
        <v/>
      </c>
    </row>
    <row r="2635">
      <c r="A2635" s="18" t="n"/>
      <c r="B2635" s="19" t="n"/>
      <c r="C2635" s="19" t="n"/>
      <c r="D2635" s="19" t="n"/>
      <c r="E2635" s="20" t="n"/>
      <c r="F2635" s="20" t="n"/>
      <c r="G2635" s="19" t="n"/>
      <c r="H2635" s="21">
        <f>IF(A2635="","",YEAR(A2635)*100+MONTH(A2635))</f>
        <v/>
      </c>
    </row>
    <row r="2636">
      <c r="A2636" s="18" t="n"/>
      <c r="B2636" s="19" t="n"/>
      <c r="C2636" s="19" t="n"/>
      <c r="D2636" s="19" t="n"/>
      <c r="E2636" s="20" t="n"/>
      <c r="F2636" s="20" t="n"/>
      <c r="G2636" s="19" t="n"/>
      <c r="H2636" s="21">
        <f>IF(A2636="","",YEAR(A2636)*100+MONTH(A2636))</f>
        <v/>
      </c>
    </row>
    <row r="2637">
      <c r="A2637" s="18" t="n"/>
      <c r="B2637" s="19" t="n"/>
      <c r="C2637" s="19" t="n"/>
      <c r="D2637" s="19" t="n"/>
      <c r="E2637" s="20" t="n"/>
      <c r="F2637" s="20" t="n"/>
      <c r="G2637" s="19" t="n"/>
      <c r="H2637" s="21">
        <f>IF(A2637="","",YEAR(A2637)*100+MONTH(A2637))</f>
        <v/>
      </c>
    </row>
    <row r="2638">
      <c r="A2638" s="18" t="n"/>
      <c r="B2638" s="19" t="n"/>
      <c r="C2638" s="19" t="n"/>
      <c r="D2638" s="19" t="n"/>
      <c r="E2638" s="20" t="n"/>
      <c r="F2638" s="20" t="n"/>
      <c r="G2638" s="19" t="n"/>
      <c r="H2638" s="21">
        <f>IF(A2638="","",YEAR(A2638)*100+MONTH(A2638))</f>
        <v/>
      </c>
    </row>
    <row r="2639">
      <c r="A2639" s="18" t="n"/>
      <c r="B2639" s="19" t="n"/>
      <c r="C2639" s="19" t="n"/>
      <c r="D2639" s="19" t="n"/>
      <c r="E2639" s="20" t="n"/>
      <c r="F2639" s="20" t="n"/>
      <c r="G2639" s="19" t="n"/>
      <c r="H2639" s="21">
        <f>IF(A2639="","",YEAR(A2639)*100+MONTH(A2639))</f>
        <v/>
      </c>
    </row>
    <row r="2640">
      <c r="A2640" s="18" t="n"/>
      <c r="B2640" s="19" t="n"/>
      <c r="C2640" s="19" t="n"/>
      <c r="D2640" s="19" t="n"/>
      <c r="E2640" s="20" t="n"/>
      <c r="F2640" s="20" t="n"/>
      <c r="G2640" s="19" t="n"/>
      <c r="H2640" s="21">
        <f>IF(A2640="","",YEAR(A2640)*100+MONTH(A2640))</f>
        <v/>
      </c>
    </row>
    <row r="2641">
      <c r="A2641" s="18" t="n"/>
      <c r="B2641" s="19" t="n"/>
      <c r="C2641" s="19" t="n"/>
      <c r="D2641" s="19" t="n"/>
      <c r="E2641" s="20" t="n"/>
      <c r="F2641" s="20" t="n"/>
      <c r="G2641" s="19" t="n"/>
      <c r="H2641" s="21">
        <f>IF(A2641="","",YEAR(A2641)*100+MONTH(A2641))</f>
        <v/>
      </c>
    </row>
    <row r="2642">
      <c r="A2642" s="18" t="n"/>
      <c r="B2642" s="19" t="n"/>
      <c r="C2642" s="19" t="n"/>
      <c r="D2642" s="19" t="n"/>
      <c r="E2642" s="20" t="n"/>
      <c r="F2642" s="20" t="n"/>
      <c r="G2642" s="19" t="n"/>
      <c r="H2642" s="21">
        <f>IF(A2642="","",YEAR(A2642)*100+MONTH(A2642))</f>
        <v/>
      </c>
    </row>
    <row r="2643">
      <c r="A2643" s="18" t="n"/>
      <c r="B2643" s="19" t="n"/>
      <c r="C2643" s="19" t="n"/>
      <c r="D2643" s="19" t="n"/>
      <c r="E2643" s="20" t="n"/>
      <c r="F2643" s="20" t="n"/>
      <c r="G2643" s="19" t="n"/>
      <c r="H2643" s="21">
        <f>IF(A2643="","",YEAR(A2643)*100+MONTH(A2643))</f>
        <v/>
      </c>
    </row>
    <row r="2644">
      <c r="A2644" s="18" t="n"/>
      <c r="B2644" s="19" t="n"/>
      <c r="C2644" s="19" t="n"/>
      <c r="D2644" s="19" t="n"/>
      <c r="E2644" s="20" t="n"/>
      <c r="F2644" s="20" t="n"/>
      <c r="G2644" s="19" t="n"/>
      <c r="H2644" s="21">
        <f>IF(A2644="","",YEAR(A2644)*100+MONTH(A2644))</f>
        <v/>
      </c>
    </row>
    <row r="2645">
      <c r="A2645" s="18" t="n"/>
      <c r="B2645" s="19" t="n"/>
      <c r="C2645" s="19" t="n"/>
      <c r="D2645" s="19" t="n"/>
      <c r="E2645" s="20" t="n"/>
      <c r="F2645" s="20" t="n"/>
      <c r="G2645" s="19" t="n"/>
      <c r="H2645" s="21">
        <f>IF(A2645="","",YEAR(A2645)*100+MONTH(A2645))</f>
        <v/>
      </c>
    </row>
    <row r="2646">
      <c r="A2646" s="18" t="n"/>
      <c r="B2646" s="19" t="n"/>
      <c r="C2646" s="19" t="n"/>
      <c r="D2646" s="19" t="n"/>
      <c r="E2646" s="20" t="n"/>
      <c r="F2646" s="20" t="n"/>
      <c r="G2646" s="19" t="n"/>
      <c r="H2646" s="21">
        <f>IF(A2646="","",YEAR(A2646)*100+MONTH(A2646))</f>
        <v/>
      </c>
    </row>
    <row r="2647">
      <c r="A2647" s="18" t="n"/>
      <c r="B2647" s="19" t="n"/>
      <c r="C2647" s="19" t="n"/>
      <c r="D2647" s="19" t="n"/>
      <c r="E2647" s="20" t="n"/>
      <c r="F2647" s="20" t="n"/>
      <c r="G2647" s="19" t="n"/>
      <c r="H2647" s="21">
        <f>IF(A2647="","",YEAR(A2647)*100+MONTH(A2647))</f>
        <v/>
      </c>
    </row>
    <row r="2648">
      <c r="A2648" s="18" t="n"/>
      <c r="B2648" s="19" t="n"/>
      <c r="C2648" s="19" t="n"/>
      <c r="D2648" s="19" t="n"/>
      <c r="E2648" s="20" t="n"/>
      <c r="F2648" s="20" t="n"/>
      <c r="G2648" s="19" t="n"/>
      <c r="H2648" s="21">
        <f>IF(A2648="","",YEAR(A2648)*100+MONTH(A2648))</f>
        <v/>
      </c>
    </row>
    <row r="2649">
      <c r="A2649" s="18" t="n"/>
      <c r="B2649" s="19" t="n"/>
      <c r="C2649" s="19" t="n"/>
      <c r="D2649" s="19" t="n"/>
      <c r="E2649" s="20" t="n"/>
      <c r="F2649" s="20" t="n"/>
      <c r="G2649" s="19" t="n"/>
      <c r="H2649" s="21">
        <f>IF(A2649="","",YEAR(A2649)*100+MONTH(A2649))</f>
        <v/>
      </c>
    </row>
    <row r="2650">
      <c r="A2650" s="18" t="n"/>
      <c r="B2650" s="19" t="n"/>
      <c r="C2650" s="19" t="n"/>
      <c r="D2650" s="19" t="n"/>
      <c r="E2650" s="20" t="n"/>
      <c r="F2650" s="20" t="n"/>
      <c r="G2650" s="19" t="n"/>
      <c r="H2650" s="21">
        <f>IF(A2650="","",YEAR(A2650)*100+MONTH(A2650))</f>
        <v/>
      </c>
    </row>
    <row r="2651">
      <c r="A2651" s="18" t="n"/>
      <c r="B2651" s="19" t="n"/>
      <c r="C2651" s="19" t="n"/>
      <c r="D2651" s="19" t="n"/>
      <c r="E2651" s="20" t="n"/>
      <c r="F2651" s="20" t="n"/>
      <c r="G2651" s="19" t="n"/>
      <c r="H2651" s="21">
        <f>IF(A2651="","",YEAR(A2651)*100+MONTH(A2651))</f>
        <v/>
      </c>
    </row>
    <row r="2652">
      <c r="A2652" s="18" t="n"/>
      <c r="B2652" s="19" t="n"/>
      <c r="C2652" s="19" t="n"/>
      <c r="D2652" s="19" t="n"/>
      <c r="E2652" s="20" t="n"/>
      <c r="F2652" s="20" t="n"/>
      <c r="G2652" s="19" t="n"/>
      <c r="H2652" s="21">
        <f>IF(A2652="","",YEAR(A2652)*100+MONTH(A2652))</f>
        <v/>
      </c>
    </row>
    <row r="2653">
      <c r="A2653" s="18" t="n"/>
      <c r="B2653" s="19" t="n"/>
      <c r="C2653" s="19" t="n"/>
      <c r="D2653" s="19" t="n"/>
      <c r="E2653" s="20" t="n"/>
      <c r="F2653" s="20" t="n"/>
      <c r="G2653" s="19" t="n"/>
      <c r="H2653" s="21">
        <f>IF(A2653="","",YEAR(A2653)*100+MONTH(A2653))</f>
        <v/>
      </c>
    </row>
    <row r="2654">
      <c r="A2654" s="18" t="n"/>
      <c r="B2654" s="19" t="n"/>
      <c r="C2654" s="19" t="n"/>
      <c r="D2654" s="19" t="n"/>
      <c r="E2654" s="20" t="n"/>
      <c r="F2654" s="20" t="n"/>
      <c r="G2654" s="19" t="n"/>
      <c r="H2654" s="21">
        <f>IF(A2654="","",YEAR(A2654)*100+MONTH(A2654))</f>
        <v/>
      </c>
    </row>
    <row r="2655">
      <c r="A2655" s="18" t="n"/>
      <c r="B2655" s="19" t="n"/>
      <c r="C2655" s="19" t="n"/>
      <c r="D2655" s="19" t="n"/>
      <c r="E2655" s="20" t="n"/>
      <c r="F2655" s="20" t="n"/>
      <c r="G2655" s="19" t="n"/>
      <c r="H2655" s="21">
        <f>IF(A2655="","",YEAR(A2655)*100+MONTH(A2655))</f>
        <v/>
      </c>
    </row>
    <row r="2656">
      <c r="A2656" s="18" t="n"/>
      <c r="B2656" s="19" t="n"/>
      <c r="C2656" s="19" t="n"/>
      <c r="D2656" s="19" t="n"/>
      <c r="E2656" s="20" t="n"/>
      <c r="F2656" s="20" t="n"/>
      <c r="G2656" s="19" t="n"/>
      <c r="H2656" s="21">
        <f>IF(A2656="","",YEAR(A2656)*100+MONTH(A2656))</f>
        <v/>
      </c>
    </row>
    <row r="2657">
      <c r="A2657" s="18" t="n"/>
      <c r="B2657" s="19" t="n"/>
      <c r="C2657" s="19" t="n"/>
      <c r="D2657" s="19" t="n"/>
      <c r="E2657" s="20" t="n"/>
      <c r="F2657" s="20" t="n"/>
      <c r="G2657" s="19" t="n"/>
      <c r="H2657" s="21">
        <f>IF(A2657="","",YEAR(A2657)*100+MONTH(A2657))</f>
        <v/>
      </c>
    </row>
    <row r="2658">
      <c r="A2658" s="18" t="n"/>
      <c r="B2658" s="19" t="n"/>
      <c r="C2658" s="19" t="n"/>
      <c r="D2658" s="19" t="n"/>
      <c r="E2658" s="20" t="n"/>
      <c r="F2658" s="20" t="n"/>
      <c r="G2658" s="19" t="n"/>
      <c r="H2658" s="21">
        <f>IF(A2658="","",YEAR(A2658)*100+MONTH(A2658))</f>
        <v/>
      </c>
    </row>
    <row r="2659">
      <c r="A2659" s="18" t="n"/>
      <c r="B2659" s="19" t="n"/>
      <c r="C2659" s="19" t="n"/>
      <c r="D2659" s="19" t="n"/>
      <c r="E2659" s="20" t="n"/>
      <c r="F2659" s="20" t="n"/>
      <c r="G2659" s="19" t="n"/>
      <c r="H2659" s="21">
        <f>IF(A2659="","",YEAR(A2659)*100+MONTH(A2659))</f>
        <v/>
      </c>
    </row>
    <row r="2660">
      <c r="A2660" s="18" t="n"/>
      <c r="B2660" s="19" t="n"/>
      <c r="C2660" s="19" t="n"/>
      <c r="D2660" s="19" t="n"/>
      <c r="E2660" s="20" t="n"/>
      <c r="F2660" s="20" t="n"/>
      <c r="G2660" s="19" t="n"/>
      <c r="H2660" s="21">
        <f>IF(A2660="","",YEAR(A2660)*100+MONTH(A2660))</f>
        <v/>
      </c>
    </row>
    <row r="2661">
      <c r="A2661" s="18" t="n"/>
      <c r="B2661" s="19" t="n"/>
      <c r="C2661" s="19" t="n"/>
      <c r="D2661" s="19" t="n"/>
      <c r="E2661" s="20" t="n"/>
      <c r="F2661" s="20" t="n"/>
      <c r="G2661" s="19" t="n"/>
      <c r="H2661" s="21">
        <f>IF(A2661="","",YEAR(A2661)*100+MONTH(A2661))</f>
        <v/>
      </c>
    </row>
    <row r="2662">
      <c r="A2662" s="18" t="n"/>
      <c r="B2662" s="19" t="n"/>
      <c r="C2662" s="19" t="n"/>
      <c r="D2662" s="19" t="n"/>
      <c r="E2662" s="20" t="n"/>
      <c r="F2662" s="20" t="n"/>
      <c r="G2662" s="19" t="n"/>
      <c r="H2662" s="21">
        <f>IF(A2662="","",YEAR(A2662)*100+MONTH(A2662))</f>
        <v/>
      </c>
    </row>
    <row r="2663">
      <c r="A2663" s="18" t="n"/>
      <c r="B2663" s="19" t="n"/>
      <c r="C2663" s="19" t="n"/>
      <c r="D2663" s="19" t="n"/>
      <c r="E2663" s="20" t="n"/>
      <c r="F2663" s="20" t="n"/>
      <c r="G2663" s="19" t="n"/>
      <c r="H2663" s="21">
        <f>IF(A2663="","",YEAR(A2663)*100+MONTH(A2663))</f>
        <v/>
      </c>
    </row>
    <row r="2664">
      <c r="A2664" s="18" t="n"/>
      <c r="B2664" s="19" t="n"/>
      <c r="C2664" s="19" t="n"/>
      <c r="D2664" s="19" t="n"/>
      <c r="E2664" s="20" t="n"/>
      <c r="F2664" s="20" t="n"/>
      <c r="G2664" s="19" t="n"/>
      <c r="H2664" s="21">
        <f>IF(A2664="","",YEAR(A2664)*100+MONTH(A2664))</f>
        <v/>
      </c>
    </row>
    <row r="2665">
      <c r="A2665" s="18" t="n"/>
      <c r="B2665" s="19" t="n"/>
      <c r="C2665" s="19" t="n"/>
      <c r="D2665" s="19" t="n"/>
      <c r="E2665" s="20" t="n"/>
      <c r="F2665" s="20" t="n"/>
      <c r="G2665" s="19" t="n"/>
      <c r="H2665" s="21">
        <f>IF(A2665="","",YEAR(A2665)*100+MONTH(A2665))</f>
        <v/>
      </c>
    </row>
    <row r="2666">
      <c r="A2666" s="18" t="n"/>
      <c r="B2666" s="19" t="n"/>
      <c r="C2666" s="19" t="n"/>
      <c r="D2666" s="19" t="n"/>
      <c r="E2666" s="20" t="n"/>
      <c r="F2666" s="20" t="n"/>
      <c r="G2666" s="19" t="n"/>
      <c r="H2666" s="21">
        <f>IF(A2666="","",YEAR(A2666)*100+MONTH(A2666))</f>
        <v/>
      </c>
    </row>
    <row r="2667">
      <c r="A2667" s="18" t="n"/>
      <c r="B2667" s="19" t="n"/>
      <c r="C2667" s="19" t="n"/>
      <c r="D2667" s="19" t="n"/>
      <c r="E2667" s="20" t="n"/>
      <c r="F2667" s="20" t="n"/>
      <c r="G2667" s="19" t="n"/>
      <c r="H2667" s="21">
        <f>IF(A2667="","",YEAR(A2667)*100+MONTH(A2667))</f>
        <v/>
      </c>
    </row>
    <row r="2668">
      <c r="A2668" s="18" t="n"/>
      <c r="B2668" s="19" t="n"/>
      <c r="C2668" s="19" t="n"/>
      <c r="D2668" s="19" t="n"/>
      <c r="E2668" s="20" t="n"/>
      <c r="F2668" s="20" t="n"/>
      <c r="G2668" s="19" t="n"/>
      <c r="H2668" s="21">
        <f>IF(A2668="","",YEAR(A2668)*100+MONTH(A2668))</f>
        <v/>
      </c>
    </row>
    <row r="2669">
      <c r="A2669" s="18" t="n"/>
      <c r="B2669" s="19" t="n"/>
      <c r="C2669" s="19" t="n"/>
      <c r="D2669" s="19" t="n"/>
      <c r="E2669" s="20" t="n"/>
      <c r="F2669" s="20" t="n"/>
      <c r="G2669" s="19" t="n"/>
      <c r="H2669" s="21">
        <f>IF(A2669="","",YEAR(A2669)*100+MONTH(A2669))</f>
        <v/>
      </c>
    </row>
    <row r="2670">
      <c r="A2670" s="18" t="n"/>
      <c r="B2670" s="19" t="n"/>
      <c r="C2670" s="19" t="n"/>
      <c r="D2670" s="19" t="n"/>
      <c r="E2670" s="20" t="n"/>
      <c r="F2670" s="20" t="n"/>
      <c r="G2670" s="19" t="n"/>
      <c r="H2670" s="21">
        <f>IF(A2670="","",YEAR(A2670)*100+MONTH(A2670))</f>
        <v/>
      </c>
    </row>
    <row r="2671">
      <c r="A2671" s="18" t="n"/>
      <c r="B2671" s="19" t="n"/>
      <c r="C2671" s="19" t="n"/>
      <c r="D2671" s="19" t="n"/>
      <c r="E2671" s="20" t="n"/>
      <c r="F2671" s="20" t="n"/>
      <c r="G2671" s="19" t="n"/>
      <c r="H2671" s="21">
        <f>IF(A2671="","",YEAR(A2671)*100+MONTH(A2671))</f>
        <v/>
      </c>
    </row>
    <row r="2672">
      <c r="A2672" s="18" t="n"/>
      <c r="B2672" s="19" t="n"/>
      <c r="C2672" s="19" t="n"/>
      <c r="D2672" s="19" t="n"/>
      <c r="E2672" s="20" t="n"/>
      <c r="F2672" s="20" t="n"/>
      <c r="G2672" s="19" t="n"/>
      <c r="H2672" s="21">
        <f>IF(A2672="","",YEAR(A2672)*100+MONTH(A2672))</f>
        <v/>
      </c>
    </row>
    <row r="2673">
      <c r="A2673" s="18" t="n"/>
      <c r="B2673" s="19" t="n"/>
      <c r="C2673" s="19" t="n"/>
      <c r="D2673" s="19" t="n"/>
      <c r="E2673" s="20" t="n"/>
      <c r="F2673" s="20" t="n"/>
      <c r="G2673" s="19" t="n"/>
      <c r="H2673" s="21">
        <f>IF(A2673="","",YEAR(A2673)*100+MONTH(A2673))</f>
        <v/>
      </c>
    </row>
    <row r="2674">
      <c r="A2674" s="18" t="n"/>
      <c r="B2674" s="19" t="n"/>
      <c r="C2674" s="19" t="n"/>
      <c r="D2674" s="19" t="n"/>
      <c r="E2674" s="20" t="n"/>
      <c r="F2674" s="20" t="n"/>
      <c r="G2674" s="19" t="n"/>
      <c r="H2674" s="21">
        <f>IF(A2674="","",YEAR(A2674)*100+MONTH(A2674))</f>
        <v/>
      </c>
    </row>
    <row r="2675">
      <c r="A2675" s="18" t="n"/>
      <c r="B2675" s="19" t="n"/>
      <c r="C2675" s="19" t="n"/>
      <c r="D2675" s="19" t="n"/>
      <c r="E2675" s="20" t="n"/>
      <c r="F2675" s="20" t="n"/>
      <c r="G2675" s="19" t="n"/>
      <c r="H2675" s="21">
        <f>IF(A2675="","",YEAR(A2675)*100+MONTH(A2675))</f>
        <v/>
      </c>
    </row>
    <row r="2676">
      <c r="A2676" s="18" t="n"/>
      <c r="B2676" s="19" t="n"/>
      <c r="C2676" s="19" t="n"/>
      <c r="D2676" s="19" t="n"/>
      <c r="E2676" s="20" t="n"/>
      <c r="F2676" s="20" t="n"/>
      <c r="G2676" s="19" t="n"/>
      <c r="H2676" s="21">
        <f>IF(A2676="","",YEAR(A2676)*100+MONTH(A2676))</f>
        <v/>
      </c>
    </row>
    <row r="2677">
      <c r="A2677" s="18" t="n"/>
      <c r="B2677" s="19" t="n"/>
      <c r="C2677" s="19" t="n"/>
      <c r="D2677" s="19" t="n"/>
      <c r="E2677" s="20" t="n"/>
      <c r="F2677" s="20" t="n"/>
      <c r="G2677" s="19" t="n"/>
      <c r="H2677" s="21">
        <f>IF(A2677="","",YEAR(A2677)*100+MONTH(A2677))</f>
        <v/>
      </c>
    </row>
    <row r="2678">
      <c r="A2678" s="18" t="n"/>
      <c r="B2678" s="19" t="n"/>
      <c r="C2678" s="19" t="n"/>
      <c r="D2678" s="19" t="n"/>
      <c r="E2678" s="20" t="n"/>
      <c r="F2678" s="20" t="n"/>
      <c r="G2678" s="19" t="n"/>
      <c r="H2678" s="21">
        <f>IF(A2678="","",YEAR(A2678)*100+MONTH(A2678))</f>
        <v/>
      </c>
    </row>
    <row r="2679">
      <c r="A2679" s="18" t="n"/>
      <c r="B2679" s="19" t="n"/>
      <c r="C2679" s="19" t="n"/>
      <c r="D2679" s="19" t="n"/>
      <c r="E2679" s="20" t="n"/>
      <c r="F2679" s="20" t="n"/>
      <c r="G2679" s="19" t="n"/>
      <c r="H2679" s="21">
        <f>IF(A2679="","",YEAR(A2679)*100+MONTH(A2679))</f>
        <v/>
      </c>
    </row>
    <row r="2680">
      <c r="A2680" s="18" t="n"/>
      <c r="B2680" s="19" t="n"/>
      <c r="C2680" s="19" t="n"/>
      <c r="D2680" s="19" t="n"/>
      <c r="E2680" s="20" t="n"/>
      <c r="F2680" s="20" t="n"/>
      <c r="G2680" s="19" t="n"/>
      <c r="H2680" s="21">
        <f>IF(A2680="","",YEAR(A2680)*100+MONTH(A2680))</f>
        <v/>
      </c>
    </row>
    <row r="2681">
      <c r="A2681" s="18" t="n"/>
      <c r="B2681" s="19" t="n"/>
      <c r="C2681" s="19" t="n"/>
      <c r="D2681" s="19" t="n"/>
      <c r="E2681" s="20" t="n"/>
      <c r="F2681" s="20" t="n"/>
      <c r="G2681" s="19" t="n"/>
      <c r="H2681" s="21">
        <f>IF(A2681="","",YEAR(A2681)*100+MONTH(A2681))</f>
        <v/>
      </c>
    </row>
    <row r="2682">
      <c r="A2682" s="18" t="n"/>
      <c r="B2682" s="19" t="n"/>
      <c r="C2682" s="19" t="n"/>
      <c r="D2682" s="19" t="n"/>
      <c r="E2682" s="20" t="n"/>
      <c r="F2682" s="20" t="n"/>
      <c r="G2682" s="19" t="n"/>
      <c r="H2682" s="21">
        <f>IF(A2682="","",YEAR(A2682)*100+MONTH(A2682))</f>
        <v/>
      </c>
    </row>
    <row r="2683">
      <c r="A2683" s="18" t="n"/>
      <c r="B2683" s="19" t="n"/>
      <c r="C2683" s="19" t="n"/>
      <c r="D2683" s="19" t="n"/>
      <c r="E2683" s="20" t="n"/>
      <c r="F2683" s="20" t="n"/>
      <c r="G2683" s="19" t="n"/>
      <c r="H2683" s="21">
        <f>IF(A2683="","",YEAR(A2683)*100+MONTH(A2683))</f>
        <v/>
      </c>
    </row>
    <row r="2684">
      <c r="A2684" s="18" t="n"/>
      <c r="B2684" s="19" t="n"/>
      <c r="C2684" s="19" t="n"/>
      <c r="D2684" s="19" t="n"/>
      <c r="E2684" s="20" t="n"/>
      <c r="F2684" s="20" t="n"/>
      <c r="G2684" s="19" t="n"/>
      <c r="H2684" s="21">
        <f>IF(A2684="","",YEAR(A2684)*100+MONTH(A2684))</f>
        <v/>
      </c>
    </row>
    <row r="2685">
      <c r="A2685" s="18" t="n"/>
      <c r="B2685" s="19" t="n"/>
      <c r="C2685" s="19" t="n"/>
      <c r="D2685" s="19" t="n"/>
      <c r="E2685" s="20" t="n"/>
      <c r="F2685" s="20" t="n"/>
      <c r="G2685" s="19" t="n"/>
      <c r="H2685" s="21">
        <f>IF(A2685="","",YEAR(A2685)*100+MONTH(A2685))</f>
        <v/>
      </c>
    </row>
    <row r="2686">
      <c r="A2686" s="18" t="n"/>
      <c r="B2686" s="19" t="n"/>
      <c r="C2686" s="19" t="n"/>
      <c r="D2686" s="19" t="n"/>
      <c r="E2686" s="20" t="n"/>
      <c r="F2686" s="20" t="n"/>
      <c r="G2686" s="19" t="n"/>
      <c r="H2686" s="21">
        <f>IF(A2686="","",YEAR(A2686)*100+MONTH(A2686))</f>
        <v/>
      </c>
    </row>
    <row r="2687">
      <c r="A2687" s="18" t="n"/>
      <c r="B2687" s="19" t="n"/>
      <c r="C2687" s="19" t="n"/>
      <c r="D2687" s="19" t="n"/>
      <c r="E2687" s="20" t="n"/>
      <c r="F2687" s="20" t="n"/>
      <c r="G2687" s="19" t="n"/>
      <c r="H2687" s="21">
        <f>IF(A2687="","",YEAR(A2687)*100+MONTH(A2687))</f>
        <v/>
      </c>
    </row>
    <row r="2688">
      <c r="A2688" s="18" t="n"/>
      <c r="B2688" s="19" t="n"/>
      <c r="C2688" s="19" t="n"/>
      <c r="D2688" s="19" t="n"/>
      <c r="E2688" s="20" t="n"/>
      <c r="F2688" s="20" t="n"/>
      <c r="G2688" s="19" t="n"/>
      <c r="H2688" s="21">
        <f>IF(A2688="","",YEAR(A2688)*100+MONTH(A2688))</f>
        <v/>
      </c>
    </row>
    <row r="2689">
      <c r="A2689" s="18" t="n"/>
      <c r="B2689" s="19" t="n"/>
      <c r="C2689" s="19" t="n"/>
      <c r="D2689" s="19" t="n"/>
      <c r="E2689" s="20" t="n"/>
      <c r="F2689" s="20" t="n"/>
      <c r="G2689" s="19" t="n"/>
      <c r="H2689" s="21">
        <f>IF(A2689="","",YEAR(A2689)*100+MONTH(A2689))</f>
        <v/>
      </c>
    </row>
    <row r="2690">
      <c r="A2690" s="18" t="n"/>
      <c r="B2690" s="19" t="n"/>
      <c r="C2690" s="19" t="n"/>
      <c r="D2690" s="19" t="n"/>
      <c r="E2690" s="20" t="n"/>
      <c r="F2690" s="20" t="n"/>
      <c r="G2690" s="19" t="n"/>
      <c r="H2690" s="21">
        <f>IF(A2690="","",YEAR(A2690)*100+MONTH(A2690))</f>
        <v/>
      </c>
    </row>
    <row r="2691">
      <c r="A2691" s="18" t="n"/>
      <c r="B2691" s="19" t="n"/>
      <c r="C2691" s="19" t="n"/>
      <c r="D2691" s="19" t="n"/>
      <c r="E2691" s="20" t="n"/>
      <c r="F2691" s="20" t="n"/>
      <c r="G2691" s="19" t="n"/>
      <c r="H2691" s="21">
        <f>IF(A2691="","",YEAR(A2691)*100+MONTH(A2691))</f>
        <v/>
      </c>
    </row>
    <row r="2692">
      <c r="A2692" s="18" t="n"/>
      <c r="B2692" s="19" t="n"/>
      <c r="C2692" s="19" t="n"/>
      <c r="D2692" s="19" t="n"/>
      <c r="E2692" s="20" t="n"/>
      <c r="F2692" s="20" t="n"/>
      <c r="G2692" s="19" t="n"/>
      <c r="H2692" s="21">
        <f>IF(A2692="","",YEAR(A2692)*100+MONTH(A2692))</f>
        <v/>
      </c>
    </row>
    <row r="2693">
      <c r="A2693" s="18" t="n"/>
      <c r="B2693" s="19" t="n"/>
      <c r="C2693" s="19" t="n"/>
      <c r="D2693" s="19" t="n"/>
      <c r="E2693" s="20" t="n"/>
      <c r="F2693" s="20" t="n"/>
      <c r="G2693" s="19" t="n"/>
      <c r="H2693" s="21">
        <f>IF(A2693="","",YEAR(A2693)*100+MONTH(A2693))</f>
        <v/>
      </c>
    </row>
    <row r="2694">
      <c r="A2694" s="18" t="n"/>
      <c r="B2694" s="19" t="n"/>
      <c r="C2694" s="19" t="n"/>
      <c r="D2694" s="19" t="n"/>
      <c r="E2694" s="20" t="n"/>
      <c r="F2694" s="20" t="n"/>
      <c r="G2694" s="19" t="n"/>
      <c r="H2694" s="21">
        <f>IF(A2694="","",YEAR(A2694)*100+MONTH(A2694))</f>
        <v/>
      </c>
    </row>
    <row r="2695">
      <c r="A2695" s="18" t="n"/>
      <c r="B2695" s="19" t="n"/>
      <c r="C2695" s="19" t="n"/>
      <c r="D2695" s="19" t="n"/>
      <c r="E2695" s="20" t="n"/>
      <c r="F2695" s="20" t="n"/>
      <c r="G2695" s="19" t="n"/>
      <c r="H2695" s="21">
        <f>IF(A2695="","",YEAR(A2695)*100+MONTH(A2695))</f>
        <v/>
      </c>
    </row>
    <row r="2696">
      <c r="A2696" s="18" t="n"/>
      <c r="B2696" s="19" t="n"/>
      <c r="C2696" s="19" t="n"/>
      <c r="D2696" s="19" t="n"/>
      <c r="E2696" s="20" t="n"/>
      <c r="F2696" s="20" t="n"/>
      <c r="G2696" s="19" t="n"/>
      <c r="H2696" s="21">
        <f>IF(A2696="","",YEAR(A2696)*100+MONTH(A2696))</f>
        <v/>
      </c>
    </row>
    <row r="2697">
      <c r="A2697" s="18" t="n"/>
      <c r="B2697" s="19" t="n"/>
      <c r="C2697" s="19" t="n"/>
      <c r="D2697" s="19" t="n"/>
      <c r="E2697" s="20" t="n"/>
      <c r="F2697" s="20" t="n"/>
      <c r="G2697" s="19" t="n"/>
      <c r="H2697" s="21">
        <f>IF(A2697="","",YEAR(A2697)*100+MONTH(A2697))</f>
        <v/>
      </c>
    </row>
    <row r="2698">
      <c r="A2698" s="18" t="n"/>
      <c r="B2698" s="19" t="n"/>
      <c r="C2698" s="19" t="n"/>
      <c r="D2698" s="19" t="n"/>
      <c r="E2698" s="20" t="n"/>
      <c r="F2698" s="20" t="n"/>
      <c r="G2698" s="19" t="n"/>
      <c r="H2698" s="21">
        <f>IF(A2698="","",YEAR(A2698)*100+MONTH(A2698))</f>
        <v/>
      </c>
    </row>
    <row r="2699">
      <c r="A2699" s="18" t="n"/>
      <c r="B2699" s="19" t="n"/>
      <c r="C2699" s="19" t="n"/>
      <c r="D2699" s="19" t="n"/>
      <c r="E2699" s="20" t="n"/>
      <c r="F2699" s="20" t="n"/>
      <c r="G2699" s="19" t="n"/>
      <c r="H2699" s="21">
        <f>IF(A2699="","",YEAR(A2699)*100+MONTH(A2699))</f>
        <v/>
      </c>
    </row>
    <row r="2700">
      <c r="A2700" s="18" t="n"/>
      <c r="B2700" s="19" t="n"/>
      <c r="C2700" s="19" t="n"/>
      <c r="D2700" s="19" t="n"/>
      <c r="E2700" s="20" t="n"/>
      <c r="F2700" s="20" t="n"/>
      <c r="G2700" s="19" t="n"/>
      <c r="H2700" s="21">
        <f>IF(A2700="","",YEAR(A2700)*100+MONTH(A2700))</f>
        <v/>
      </c>
    </row>
    <row r="2701">
      <c r="A2701" s="18" t="n"/>
      <c r="B2701" s="19" t="n"/>
      <c r="C2701" s="19" t="n"/>
      <c r="D2701" s="19" t="n"/>
      <c r="E2701" s="20" t="n"/>
      <c r="F2701" s="20" t="n"/>
      <c r="G2701" s="19" t="n"/>
      <c r="H2701" s="21">
        <f>IF(A2701="","",YEAR(A2701)*100+MONTH(A2701))</f>
        <v/>
      </c>
    </row>
    <row r="2702">
      <c r="A2702" s="18" t="n"/>
      <c r="B2702" s="19" t="n"/>
      <c r="C2702" s="19" t="n"/>
      <c r="D2702" s="19" t="n"/>
      <c r="E2702" s="20" t="n"/>
      <c r="F2702" s="20" t="n"/>
      <c r="G2702" s="19" t="n"/>
      <c r="H2702" s="21">
        <f>IF(A2702="","",YEAR(A2702)*100+MONTH(A2702))</f>
        <v/>
      </c>
    </row>
    <row r="2703">
      <c r="A2703" s="18" t="n"/>
      <c r="B2703" s="19" t="n"/>
      <c r="C2703" s="19" t="n"/>
      <c r="D2703" s="19" t="n"/>
      <c r="E2703" s="20" t="n"/>
      <c r="F2703" s="20" t="n"/>
      <c r="G2703" s="19" t="n"/>
      <c r="H2703" s="21">
        <f>IF(A2703="","",YEAR(A2703)*100+MONTH(A2703))</f>
        <v/>
      </c>
    </row>
    <row r="2704">
      <c r="A2704" s="18" t="n"/>
      <c r="B2704" s="19" t="n"/>
      <c r="C2704" s="19" t="n"/>
      <c r="D2704" s="19" t="n"/>
      <c r="E2704" s="20" t="n"/>
      <c r="F2704" s="20" t="n"/>
      <c r="G2704" s="19" t="n"/>
      <c r="H2704" s="21">
        <f>IF(A2704="","",YEAR(A2704)*100+MONTH(A2704))</f>
        <v/>
      </c>
    </row>
    <row r="2705">
      <c r="A2705" s="18" t="n"/>
      <c r="B2705" s="19" t="n"/>
      <c r="C2705" s="19" t="n"/>
      <c r="D2705" s="19" t="n"/>
      <c r="E2705" s="20" t="n"/>
      <c r="F2705" s="20" t="n"/>
      <c r="G2705" s="19" t="n"/>
      <c r="H2705" s="21">
        <f>IF(A2705="","",YEAR(A2705)*100+MONTH(A2705))</f>
        <v/>
      </c>
    </row>
    <row r="2706">
      <c r="A2706" s="18" t="n"/>
      <c r="B2706" s="19" t="n"/>
      <c r="C2706" s="19" t="n"/>
      <c r="D2706" s="19" t="n"/>
      <c r="E2706" s="20" t="n"/>
      <c r="F2706" s="20" t="n"/>
      <c r="G2706" s="19" t="n"/>
      <c r="H2706" s="21">
        <f>IF(A2706="","",YEAR(A2706)*100+MONTH(A2706))</f>
        <v/>
      </c>
    </row>
    <row r="2707">
      <c r="A2707" s="18" t="n"/>
      <c r="B2707" s="19" t="n"/>
      <c r="C2707" s="19" t="n"/>
      <c r="D2707" s="19" t="n"/>
      <c r="E2707" s="20" t="n"/>
      <c r="F2707" s="20" t="n"/>
      <c r="G2707" s="19" t="n"/>
      <c r="H2707" s="21">
        <f>IF(A2707="","",YEAR(A2707)*100+MONTH(A2707))</f>
        <v/>
      </c>
    </row>
    <row r="2708">
      <c r="A2708" s="18" t="n"/>
      <c r="B2708" s="19" t="n"/>
      <c r="C2708" s="19" t="n"/>
      <c r="D2708" s="19" t="n"/>
      <c r="E2708" s="20" t="n"/>
      <c r="F2708" s="20" t="n"/>
      <c r="G2708" s="19" t="n"/>
      <c r="H2708" s="21">
        <f>IF(A2708="","",YEAR(A2708)*100+MONTH(A2708))</f>
        <v/>
      </c>
    </row>
    <row r="2709">
      <c r="A2709" s="18" t="n"/>
      <c r="B2709" s="19" t="n"/>
      <c r="C2709" s="19" t="n"/>
      <c r="D2709" s="19" t="n"/>
      <c r="E2709" s="20" t="n"/>
      <c r="F2709" s="20" t="n"/>
      <c r="G2709" s="19" t="n"/>
      <c r="H2709" s="21">
        <f>IF(A2709="","",YEAR(A2709)*100+MONTH(A2709))</f>
        <v/>
      </c>
    </row>
    <row r="2710">
      <c r="A2710" s="18" t="n"/>
      <c r="B2710" s="19" t="n"/>
      <c r="C2710" s="19" t="n"/>
      <c r="D2710" s="19" t="n"/>
      <c r="E2710" s="20" t="n"/>
      <c r="F2710" s="20" t="n"/>
      <c r="G2710" s="19" t="n"/>
      <c r="H2710" s="21">
        <f>IF(A2710="","",YEAR(A2710)*100+MONTH(A2710))</f>
        <v/>
      </c>
    </row>
    <row r="2711">
      <c r="A2711" s="18" t="n"/>
      <c r="B2711" s="19" t="n"/>
      <c r="C2711" s="19" t="n"/>
      <c r="D2711" s="19" t="n"/>
      <c r="E2711" s="20" t="n"/>
      <c r="F2711" s="20" t="n"/>
      <c r="G2711" s="19" t="n"/>
      <c r="H2711" s="21">
        <f>IF(A2711="","",YEAR(A2711)*100+MONTH(A2711))</f>
        <v/>
      </c>
    </row>
    <row r="2712">
      <c r="A2712" s="18" t="n"/>
      <c r="B2712" s="19" t="n"/>
      <c r="C2712" s="19" t="n"/>
      <c r="D2712" s="19" t="n"/>
      <c r="E2712" s="20" t="n"/>
      <c r="F2712" s="20" t="n"/>
      <c r="G2712" s="19" t="n"/>
      <c r="H2712" s="21">
        <f>IF(A2712="","",YEAR(A2712)*100+MONTH(A2712))</f>
        <v/>
      </c>
    </row>
    <row r="2713">
      <c r="A2713" s="18" t="n"/>
      <c r="B2713" s="19" t="n"/>
      <c r="C2713" s="19" t="n"/>
      <c r="D2713" s="19" t="n"/>
      <c r="E2713" s="20" t="n"/>
      <c r="F2713" s="20" t="n"/>
      <c r="G2713" s="19" t="n"/>
      <c r="H2713" s="21">
        <f>IF(A2713="","",YEAR(A2713)*100+MONTH(A2713))</f>
        <v/>
      </c>
    </row>
    <row r="2714">
      <c r="A2714" s="18" t="n"/>
      <c r="B2714" s="19" t="n"/>
      <c r="C2714" s="19" t="n"/>
      <c r="D2714" s="19" t="n"/>
      <c r="E2714" s="20" t="n"/>
      <c r="F2714" s="20" t="n"/>
      <c r="G2714" s="19" t="n"/>
      <c r="H2714" s="21">
        <f>IF(A2714="","",YEAR(A2714)*100+MONTH(A2714))</f>
        <v/>
      </c>
    </row>
    <row r="2715">
      <c r="A2715" s="18" t="n"/>
      <c r="B2715" s="19" t="n"/>
      <c r="C2715" s="19" t="n"/>
      <c r="D2715" s="19" t="n"/>
      <c r="E2715" s="20" t="n"/>
      <c r="F2715" s="20" t="n"/>
      <c r="G2715" s="19" t="n"/>
      <c r="H2715" s="21">
        <f>IF(A2715="","",YEAR(A2715)*100+MONTH(A2715))</f>
        <v/>
      </c>
    </row>
    <row r="2716">
      <c r="A2716" s="18" t="n"/>
      <c r="B2716" s="19" t="n"/>
      <c r="C2716" s="19" t="n"/>
      <c r="D2716" s="19" t="n"/>
      <c r="E2716" s="20" t="n"/>
      <c r="F2716" s="20" t="n"/>
      <c r="G2716" s="19" t="n"/>
      <c r="H2716" s="21">
        <f>IF(A2716="","",YEAR(A2716)*100+MONTH(A2716))</f>
        <v/>
      </c>
    </row>
    <row r="2717">
      <c r="A2717" s="18" t="n"/>
      <c r="B2717" s="19" t="n"/>
      <c r="C2717" s="19" t="n"/>
      <c r="D2717" s="19" t="n"/>
      <c r="E2717" s="20" t="n"/>
      <c r="F2717" s="20" t="n"/>
      <c r="G2717" s="19" t="n"/>
      <c r="H2717" s="21">
        <f>IF(A2717="","",YEAR(A2717)*100+MONTH(A2717))</f>
        <v/>
      </c>
    </row>
    <row r="2718">
      <c r="A2718" s="18" t="n"/>
      <c r="B2718" s="19" t="n"/>
      <c r="C2718" s="19" t="n"/>
      <c r="D2718" s="19" t="n"/>
      <c r="E2718" s="20" t="n"/>
      <c r="F2718" s="20" t="n"/>
      <c r="G2718" s="19" t="n"/>
      <c r="H2718" s="21">
        <f>IF(A2718="","",YEAR(A2718)*100+MONTH(A2718))</f>
        <v/>
      </c>
    </row>
    <row r="2719">
      <c r="A2719" s="18" t="n"/>
      <c r="B2719" s="19" t="n"/>
      <c r="C2719" s="19" t="n"/>
      <c r="D2719" s="19" t="n"/>
      <c r="E2719" s="20" t="n"/>
      <c r="F2719" s="20" t="n"/>
      <c r="G2719" s="19" t="n"/>
      <c r="H2719" s="21">
        <f>IF(A2719="","",YEAR(A2719)*100+MONTH(A2719))</f>
        <v/>
      </c>
    </row>
    <row r="2720">
      <c r="A2720" s="18" t="n"/>
      <c r="B2720" s="19" t="n"/>
      <c r="C2720" s="19" t="n"/>
      <c r="D2720" s="19" t="n"/>
      <c r="E2720" s="20" t="n"/>
      <c r="F2720" s="20" t="n"/>
      <c r="G2720" s="19" t="n"/>
      <c r="H2720" s="21">
        <f>IF(A2720="","",YEAR(A2720)*100+MONTH(A2720))</f>
        <v/>
      </c>
    </row>
    <row r="2721">
      <c r="A2721" s="18" t="n"/>
      <c r="B2721" s="19" t="n"/>
      <c r="C2721" s="19" t="n"/>
      <c r="D2721" s="19" t="n"/>
      <c r="E2721" s="20" t="n"/>
      <c r="F2721" s="20" t="n"/>
      <c r="G2721" s="19" t="n"/>
      <c r="H2721" s="21">
        <f>IF(A2721="","",YEAR(A2721)*100+MONTH(A2721))</f>
        <v/>
      </c>
    </row>
    <row r="2722">
      <c r="A2722" s="18" t="n"/>
      <c r="B2722" s="19" t="n"/>
      <c r="C2722" s="19" t="n"/>
      <c r="D2722" s="19" t="n"/>
      <c r="E2722" s="20" t="n"/>
      <c r="F2722" s="20" t="n"/>
      <c r="G2722" s="19" t="n"/>
      <c r="H2722" s="21">
        <f>IF(A2722="","",YEAR(A2722)*100+MONTH(A2722))</f>
        <v/>
      </c>
    </row>
    <row r="2723">
      <c r="A2723" s="18" t="n"/>
      <c r="B2723" s="19" t="n"/>
      <c r="C2723" s="19" t="n"/>
      <c r="D2723" s="19" t="n"/>
      <c r="E2723" s="20" t="n"/>
      <c r="F2723" s="20" t="n"/>
      <c r="G2723" s="19" t="n"/>
      <c r="H2723" s="21">
        <f>IF(A2723="","",YEAR(A2723)*100+MONTH(A2723))</f>
        <v/>
      </c>
    </row>
    <row r="2724">
      <c r="A2724" s="18" t="n"/>
      <c r="B2724" s="19" t="n"/>
      <c r="C2724" s="19" t="n"/>
      <c r="D2724" s="19" t="n"/>
      <c r="E2724" s="20" t="n"/>
      <c r="F2724" s="20" t="n"/>
      <c r="G2724" s="19" t="n"/>
      <c r="H2724" s="21">
        <f>IF(A2724="","",YEAR(A2724)*100+MONTH(A2724))</f>
        <v/>
      </c>
    </row>
    <row r="2725">
      <c r="A2725" s="18" t="n"/>
      <c r="B2725" s="19" t="n"/>
      <c r="C2725" s="19" t="n"/>
      <c r="D2725" s="19" t="n"/>
      <c r="E2725" s="20" t="n"/>
      <c r="F2725" s="20" t="n"/>
      <c r="G2725" s="19" t="n"/>
      <c r="H2725" s="21">
        <f>IF(A2725="","",YEAR(A2725)*100+MONTH(A2725))</f>
        <v/>
      </c>
    </row>
    <row r="2726">
      <c r="A2726" s="18" t="n"/>
      <c r="B2726" s="19" t="n"/>
      <c r="C2726" s="19" t="n"/>
      <c r="D2726" s="19" t="n"/>
      <c r="E2726" s="20" t="n"/>
      <c r="F2726" s="20" t="n"/>
      <c r="G2726" s="19" t="n"/>
      <c r="H2726" s="21">
        <f>IF(A2726="","",YEAR(A2726)*100+MONTH(A2726))</f>
        <v/>
      </c>
    </row>
    <row r="2727">
      <c r="A2727" s="18" t="n"/>
      <c r="B2727" s="19" t="n"/>
      <c r="C2727" s="19" t="n"/>
      <c r="D2727" s="19" t="n"/>
      <c r="E2727" s="20" t="n"/>
      <c r="F2727" s="20" t="n"/>
      <c r="G2727" s="19" t="n"/>
      <c r="H2727" s="21">
        <f>IF(A2727="","",YEAR(A2727)*100+MONTH(A2727))</f>
        <v/>
      </c>
    </row>
    <row r="2728">
      <c r="A2728" s="18" t="n"/>
      <c r="B2728" s="19" t="n"/>
      <c r="C2728" s="19" t="n"/>
      <c r="D2728" s="19" t="n"/>
      <c r="E2728" s="20" t="n"/>
      <c r="F2728" s="20" t="n"/>
      <c r="G2728" s="19" t="n"/>
      <c r="H2728" s="21">
        <f>IF(A2728="","",YEAR(A2728)*100+MONTH(A2728))</f>
        <v/>
      </c>
    </row>
    <row r="2729">
      <c r="A2729" s="18" t="n"/>
      <c r="B2729" s="19" t="n"/>
      <c r="C2729" s="19" t="n"/>
      <c r="D2729" s="19" t="n"/>
      <c r="E2729" s="20" t="n"/>
      <c r="F2729" s="20" t="n"/>
      <c r="G2729" s="19" t="n"/>
      <c r="H2729" s="21">
        <f>IF(A2729="","",YEAR(A2729)*100+MONTH(A2729))</f>
        <v/>
      </c>
    </row>
    <row r="2730">
      <c r="A2730" s="18" t="n"/>
      <c r="B2730" s="19" t="n"/>
      <c r="C2730" s="19" t="n"/>
      <c r="D2730" s="19" t="n"/>
      <c r="E2730" s="20" t="n"/>
      <c r="F2730" s="20" t="n"/>
      <c r="G2730" s="19" t="n"/>
      <c r="H2730" s="21">
        <f>IF(A2730="","",YEAR(A2730)*100+MONTH(A2730))</f>
        <v/>
      </c>
    </row>
    <row r="2731">
      <c r="A2731" s="18" t="n"/>
      <c r="B2731" s="19" t="n"/>
      <c r="C2731" s="19" t="n"/>
      <c r="D2731" s="19" t="n"/>
      <c r="E2731" s="20" t="n"/>
      <c r="F2731" s="20" t="n"/>
      <c r="G2731" s="19" t="n"/>
      <c r="H2731" s="21">
        <f>IF(A2731="","",YEAR(A2731)*100+MONTH(A2731))</f>
        <v/>
      </c>
    </row>
    <row r="2732">
      <c r="A2732" s="18" t="n"/>
      <c r="B2732" s="19" t="n"/>
      <c r="C2732" s="19" t="n"/>
      <c r="D2732" s="19" t="n"/>
      <c r="E2732" s="20" t="n"/>
      <c r="F2732" s="20" t="n"/>
      <c r="G2732" s="19" t="n"/>
      <c r="H2732" s="21">
        <f>IF(A2732="","",YEAR(A2732)*100+MONTH(A2732))</f>
        <v/>
      </c>
    </row>
    <row r="2733">
      <c r="A2733" s="18" t="n"/>
      <c r="B2733" s="19" t="n"/>
      <c r="C2733" s="19" t="n"/>
      <c r="D2733" s="19" t="n"/>
      <c r="E2733" s="20" t="n"/>
      <c r="F2733" s="20" t="n"/>
      <c r="G2733" s="19" t="n"/>
      <c r="H2733" s="21">
        <f>IF(A2733="","",YEAR(A2733)*100+MONTH(A2733))</f>
        <v/>
      </c>
    </row>
    <row r="2734">
      <c r="A2734" s="18" t="n"/>
      <c r="B2734" s="19" t="n"/>
      <c r="C2734" s="19" t="n"/>
      <c r="D2734" s="19" t="n"/>
      <c r="E2734" s="20" t="n"/>
      <c r="F2734" s="20" t="n"/>
      <c r="G2734" s="19" t="n"/>
      <c r="H2734" s="21">
        <f>IF(A2734="","",YEAR(A2734)*100+MONTH(A2734))</f>
        <v/>
      </c>
    </row>
    <row r="2735">
      <c r="A2735" s="18" t="n"/>
      <c r="B2735" s="19" t="n"/>
      <c r="C2735" s="19" t="n"/>
      <c r="D2735" s="19" t="n"/>
      <c r="E2735" s="20" t="n"/>
      <c r="F2735" s="20" t="n"/>
      <c r="G2735" s="19" t="n"/>
      <c r="H2735" s="21">
        <f>IF(A2735="","",YEAR(A2735)*100+MONTH(A2735))</f>
        <v/>
      </c>
    </row>
    <row r="2736">
      <c r="A2736" s="18" t="n"/>
      <c r="B2736" s="19" t="n"/>
      <c r="C2736" s="19" t="n"/>
      <c r="D2736" s="19" t="n"/>
      <c r="E2736" s="20" t="n"/>
      <c r="F2736" s="20" t="n"/>
      <c r="G2736" s="19" t="n"/>
      <c r="H2736" s="21">
        <f>IF(A2736="","",YEAR(A2736)*100+MONTH(A2736))</f>
        <v/>
      </c>
    </row>
    <row r="2737">
      <c r="A2737" s="18" t="n"/>
      <c r="B2737" s="19" t="n"/>
      <c r="C2737" s="19" t="n"/>
      <c r="D2737" s="19" t="n"/>
      <c r="E2737" s="20" t="n"/>
      <c r="F2737" s="20" t="n"/>
      <c r="G2737" s="19" t="n"/>
      <c r="H2737" s="21">
        <f>IF(A2737="","",YEAR(A2737)*100+MONTH(A2737))</f>
        <v/>
      </c>
    </row>
    <row r="2738">
      <c r="A2738" s="18" t="n"/>
      <c r="B2738" s="19" t="n"/>
      <c r="C2738" s="19" t="n"/>
      <c r="D2738" s="19" t="n"/>
      <c r="E2738" s="20" t="n"/>
      <c r="F2738" s="20" t="n"/>
      <c r="G2738" s="19" t="n"/>
      <c r="H2738" s="21">
        <f>IF(A2738="","",YEAR(A2738)*100+MONTH(A2738))</f>
        <v/>
      </c>
    </row>
    <row r="2739">
      <c r="A2739" s="18" t="n"/>
      <c r="B2739" s="19" t="n"/>
      <c r="C2739" s="19" t="n"/>
      <c r="D2739" s="19" t="n"/>
      <c r="E2739" s="20" t="n"/>
      <c r="F2739" s="20" t="n"/>
      <c r="G2739" s="19" t="n"/>
      <c r="H2739" s="21">
        <f>IF(A2739="","",YEAR(A2739)*100+MONTH(A2739))</f>
        <v/>
      </c>
    </row>
    <row r="2740">
      <c r="A2740" s="18" t="n"/>
      <c r="B2740" s="19" t="n"/>
      <c r="C2740" s="19" t="n"/>
      <c r="D2740" s="19" t="n"/>
      <c r="E2740" s="20" t="n"/>
      <c r="F2740" s="20" t="n"/>
      <c r="G2740" s="19" t="n"/>
      <c r="H2740" s="21">
        <f>IF(A2740="","",YEAR(A2740)*100+MONTH(A2740))</f>
        <v/>
      </c>
    </row>
    <row r="2741">
      <c r="A2741" s="18" t="n"/>
      <c r="B2741" s="19" t="n"/>
      <c r="C2741" s="19" t="n"/>
      <c r="D2741" s="19" t="n"/>
      <c r="E2741" s="20" t="n"/>
      <c r="F2741" s="20" t="n"/>
      <c r="G2741" s="19" t="n"/>
      <c r="H2741" s="21">
        <f>IF(A2741="","",YEAR(A2741)*100+MONTH(A2741))</f>
        <v/>
      </c>
    </row>
    <row r="2742">
      <c r="A2742" s="18" t="n"/>
      <c r="B2742" s="19" t="n"/>
      <c r="C2742" s="19" t="n"/>
      <c r="D2742" s="19" t="n"/>
      <c r="E2742" s="20" t="n"/>
      <c r="F2742" s="20" t="n"/>
      <c r="G2742" s="19" t="n"/>
      <c r="H2742" s="21">
        <f>IF(A2742="","",YEAR(A2742)*100+MONTH(A2742))</f>
        <v/>
      </c>
    </row>
    <row r="2743">
      <c r="A2743" s="18" t="n"/>
      <c r="B2743" s="19" t="n"/>
      <c r="C2743" s="19" t="n"/>
      <c r="D2743" s="19" t="n"/>
      <c r="E2743" s="20" t="n"/>
      <c r="F2743" s="20" t="n"/>
      <c r="G2743" s="19" t="n"/>
      <c r="H2743" s="21">
        <f>IF(A2743="","",YEAR(A2743)*100+MONTH(A2743))</f>
        <v/>
      </c>
    </row>
    <row r="2744">
      <c r="A2744" s="18" t="n"/>
      <c r="B2744" s="19" t="n"/>
      <c r="C2744" s="19" t="n"/>
      <c r="D2744" s="19" t="n"/>
      <c r="E2744" s="20" t="n"/>
      <c r="F2744" s="20" t="n"/>
      <c r="G2744" s="19" t="n"/>
      <c r="H2744" s="21">
        <f>IF(A2744="","",YEAR(A2744)*100+MONTH(A2744))</f>
        <v/>
      </c>
    </row>
    <row r="2745">
      <c r="A2745" s="18" t="n"/>
      <c r="B2745" s="19" t="n"/>
      <c r="C2745" s="19" t="n"/>
      <c r="D2745" s="19" t="n"/>
      <c r="E2745" s="20" t="n"/>
      <c r="F2745" s="20" t="n"/>
      <c r="G2745" s="19" t="n"/>
      <c r="H2745" s="21">
        <f>IF(A2745="","",YEAR(A2745)*100+MONTH(A2745))</f>
        <v/>
      </c>
    </row>
    <row r="2746">
      <c r="A2746" s="18" t="n"/>
      <c r="B2746" s="19" t="n"/>
      <c r="C2746" s="19" t="n"/>
      <c r="D2746" s="19" t="n"/>
      <c r="E2746" s="20" t="n"/>
      <c r="F2746" s="20" t="n"/>
      <c r="G2746" s="19" t="n"/>
      <c r="H2746" s="21">
        <f>IF(A2746="","",YEAR(A2746)*100+MONTH(A2746))</f>
        <v/>
      </c>
    </row>
    <row r="2747">
      <c r="A2747" s="18" t="n"/>
      <c r="B2747" s="19" t="n"/>
      <c r="C2747" s="19" t="n"/>
      <c r="D2747" s="19" t="n"/>
      <c r="E2747" s="20" t="n"/>
      <c r="F2747" s="20" t="n"/>
      <c r="G2747" s="19" t="n"/>
      <c r="H2747" s="21">
        <f>IF(A2747="","",YEAR(A2747)*100+MONTH(A2747))</f>
        <v/>
      </c>
    </row>
    <row r="2748">
      <c r="A2748" s="18" t="n"/>
      <c r="B2748" s="19" t="n"/>
      <c r="C2748" s="19" t="n"/>
      <c r="D2748" s="19" t="n"/>
      <c r="E2748" s="20" t="n"/>
      <c r="F2748" s="20" t="n"/>
      <c r="G2748" s="19" t="n"/>
      <c r="H2748" s="21">
        <f>IF(A2748="","",YEAR(A2748)*100+MONTH(A2748))</f>
        <v/>
      </c>
    </row>
    <row r="2749">
      <c r="A2749" s="18" t="n"/>
      <c r="B2749" s="19" t="n"/>
      <c r="C2749" s="19" t="n"/>
      <c r="D2749" s="19" t="n"/>
      <c r="E2749" s="20" t="n"/>
      <c r="F2749" s="20" t="n"/>
      <c r="G2749" s="19" t="n"/>
      <c r="H2749" s="21">
        <f>IF(A2749="","",YEAR(A2749)*100+MONTH(A2749))</f>
        <v/>
      </c>
    </row>
    <row r="2750">
      <c r="A2750" s="18" t="n"/>
      <c r="B2750" s="19" t="n"/>
      <c r="C2750" s="19" t="n"/>
      <c r="D2750" s="19" t="n"/>
      <c r="E2750" s="20" t="n"/>
      <c r="F2750" s="20" t="n"/>
      <c r="G2750" s="19" t="n"/>
      <c r="H2750" s="21">
        <f>IF(A2750="","",YEAR(A2750)*100+MONTH(A2750))</f>
        <v/>
      </c>
    </row>
    <row r="2751">
      <c r="A2751" s="18" t="n"/>
      <c r="B2751" s="19" t="n"/>
      <c r="C2751" s="19" t="n"/>
      <c r="D2751" s="19" t="n"/>
      <c r="E2751" s="20" t="n"/>
      <c r="F2751" s="20" t="n"/>
      <c r="G2751" s="19" t="n"/>
      <c r="H2751" s="21">
        <f>IF(A2751="","",YEAR(A2751)*100+MONTH(A2751))</f>
        <v/>
      </c>
    </row>
    <row r="2752">
      <c r="A2752" s="18" t="n"/>
      <c r="B2752" s="19" t="n"/>
      <c r="C2752" s="19" t="n"/>
      <c r="D2752" s="19" t="n"/>
      <c r="E2752" s="20" t="n"/>
      <c r="F2752" s="20" t="n"/>
      <c r="G2752" s="19" t="n"/>
      <c r="H2752" s="21">
        <f>IF(A2752="","",YEAR(A2752)*100+MONTH(A2752))</f>
        <v/>
      </c>
    </row>
    <row r="2753">
      <c r="A2753" s="18" t="n"/>
      <c r="B2753" s="19" t="n"/>
      <c r="C2753" s="19" t="n"/>
      <c r="D2753" s="19" t="n"/>
      <c r="E2753" s="20" t="n"/>
      <c r="F2753" s="20" t="n"/>
      <c r="G2753" s="19" t="n"/>
      <c r="H2753" s="21">
        <f>IF(A2753="","",YEAR(A2753)*100+MONTH(A2753))</f>
        <v/>
      </c>
    </row>
    <row r="2754">
      <c r="A2754" s="18" t="n"/>
      <c r="B2754" s="19" t="n"/>
      <c r="C2754" s="19" t="n"/>
      <c r="D2754" s="19" t="n"/>
      <c r="E2754" s="20" t="n"/>
      <c r="F2754" s="20" t="n"/>
      <c r="G2754" s="19" t="n"/>
      <c r="H2754" s="21">
        <f>IF(A2754="","",YEAR(A2754)*100+MONTH(A2754))</f>
        <v/>
      </c>
    </row>
    <row r="2755">
      <c r="A2755" s="18" t="n"/>
      <c r="B2755" s="19" t="n"/>
      <c r="C2755" s="19" t="n"/>
      <c r="D2755" s="19" t="n"/>
      <c r="E2755" s="20" t="n"/>
      <c r="F2755" s="20" t="n"/>
      <c r="G2755" s="19" t="n"/>
      <c r="H2755" s="21">
        <f>IF(A2755="","",YEAR(A2755)*100+MONTH(A2755))</f>
        <v/>
      </c>
    </row>
    <row r="2756">
      <c r="A2756" s="18" t="n"/>
      <c r="B2756" s="19" t="n"/>
      <c r="C2756" s="19" t="n"/>
      <c r="D2756" s="19" t="n"/>
      <c r="E2756" s="20" t="n"/>
      <c r="F2756" s="20" t="n"/>
      <c r="G2756" s="19" t="n"/>
      <c r="H2756" s="21">
        <f>IF(A2756="","",YEAR(A2756)*100+MONTH(A2756))</f>
        <v/>
      </c>
    </row>
    <row r="2757">
      <c r="A2757" s="18" t="n"/>
      <c r="B2757" s="19" t="n"/>
      <c r="C2757" s="19" t="n"/>
      <c r="D2757" s="19" t="n"/>
      <c r="E2757" s="20" t="n"/>
      <c r="F2757" s="20" t="n"/>
      <c r="G2757" s="19" t="n"/>
      <c r="H2757" s="21">
        <f>IF(A2757="","",YEAR(A2757)*100+MONTH(A2757))</f>
        <v/>
      </c>
    </row>
    <row r="2758">
      <c r="A2758" s="18" t="n"/>
      <c r="B2758" s="19" t="n"/>
      <c r="C2758" s="19" t="n"/>
      <c r="D2758" s="19" t="n"/>
      <c r="E2758" s="20" t="n"/>
      <c r="F2758" s="20" t="n"/>
      <c r="G2758" s="19" t="n"/>
      <c r="H2758" s="21">
        <f>IF(A2758="","",YEAR(A2758)*100+MONTH(A2758))</f>
        <v/>
      </c>
    </row>
    <row r="2759">
      <c r="A2759" s="18" t="n"/>
      <c r="B2759" s="19" t="n"/>
      <c r="C2759" s="19" t="n"/>
      <c r="D2759" s="19" t="n"/>
      <c r="E2759" s="20" t="n"/>
      <c r="F2759" s="20" t="n"/>
      <c r="G2759" s="19" t="n"/>
      <c r="H2759" s="21">
        <f>IF(A2759="","",YEAR(A2759)*100+MONTH(A2759))</f>
        <v/>
      </c>
    </row>
    <row r="2760">
      <c r="A2760" s="18" t="n"/>
      <c r="B2760" s="19" t="n"/>
      <c r="C2760" s="19" t="n"/>
      <c r="D2760" s="19" t="n"/>
      <c r="E2760" s="20" t="n"/>
      <c r="F2760" s="20" t="n"/>
      <c r="G2760" s="19" t="n"/>
      <c r="H2760" s="21">
        <f>IF(A2760="","",YEAR(A2760)*100+MONTH(A2760))</f>
        <v/>
      </c>
    </row>
    <row r="2761">
      <c r="A2761" s="18" t="n"/>
      <c r="B2761" s="19" t="n"/>
      <c r="C2761" s="19" t="n"/>
      <c r="D2761" s="19" t="n"/>
      <c r="E2761" s="20" t="n"/>
      <c r="F2761" s="20" t="n"/>
      <c r="G2761" s="19" t="n"/>
      <c r="H2761" s="21">
        <f>IF(A2761="","",YEAR(A2761)*100+MONTH(A2761))</f>
        <v/>
      </c>
    </row>
    <row r="2762">
      <c r="A2762" s="18" t="n"/>
      <c r="B2762" s="19" t="n"/>
      <c r="C2762" s="19" t="n"/>
      <c r="D2762" s="19" t="n"/>
      <c r="E2762" s="20" t="n"/>
      <c r="F2762" s="20" t="n"/>
      <c r="G2762" s="19" t="n"/>
      <c r="H2762" s="21">
        <f>IF(A2762="","",YEAR(A2762)*100+MONTH(A2762))</f>
        <v/>
      </c>
    </row>
    <row r="2763">
      <c r="A2763" s="18" t="n"/>
      <c r="B2763" s="19" t="n"/>
      <c r="C2763" s="19" t="n"/>
      <c r="D2763" s="19" t="n"/>
      <c r="E2763" s="20" t="n"/>
      <c r="F2763" s="20" t="n"/>
      <c r="G2763" s="19" t="n"/>
      <c r="H2763" s="21">
        <f>IF(A2763="","",YEAR(A2763)*100+MONTH(A2763))</f>
        <v/>
      </c>
    </row>
    <row r="2764">
      <c r="A2764" s="18" t="n"/>
      <c r="B2764" s="19" t="n"/>
      <c r="C2764" s="19" t="n"/>
      <c r="D2764" s="19" t="n"/>
      <c r="E2764" s="20" t="n"/>
      <c r="F2764" s="20" t="n"/>
      <c r="G2764" s="19" t="n"/>
      <c r="H2764" s="21">
        <f>IF(A2764="","",YEAR(A2764)*100+MONTH(A2764))</f>
        <v/>
      </c>
    </row>
    <row r="2765">
      <c r="A2765" s="18" t="n"/>
      <c r="B2765" s="19" t="n"/>
      <c r="C2765" s="19" t="n"/>
      <c r="D2765" s="19" t="n"/>
      <c r="E2765" s="20" t="n"/>
      <c r="F2765" s="20" t="n"/>
      <c r="G2765" s="19" t="n"/>
      <c r="H2765" s="21">
        <f>IF(A2765="","",YEAR(A2765)*100+MONTH(A2765))</f>
        <v/>
      </c>
    </row>
    <row r="2766">
      <c r="A2766" s="18" t="n"/>
      <c r="B2766" s="19" t="n"/>
      <c r="C2766" s="19" t="n"/>
      <c r="D2766" s="19" t="n"/>
      <c r="E2766" s="20" t="n"/>
      <c r="F2766" s="20" t="n"/>
      <c r="G2766" s="19" t="n"/>
      <c r="H2766" s="21">
        <f>IF(A2766="","",YEAR(A2766)*100+MONTH(A2766))</f>
        <v/>
      </c>
    </row>
    <row r="2767">
      <c r="A2767" s="18" t="n"/>
      <c r="B2767" s="19" t="n"/>
      <c r="C2767" s="19" t="n"/>
      <c r="D2767" s="19" t="n"/>
      <c r="E2767" s="20" t="n"/>
      <c r="F2767" s="20" t="n"/>
      <c r="G2767" s="19" t="n"/>
      <c r="H2767" s="21">
        <f>IF(A2767="","",YEAR(A2767)*100+MONTH(A2767))</f>
        <v/>
      </c>
    </row>
    <row r="2768">
      <c r="A2768" s="18" t="n"/>
      <c r="B2768" s="19" t="n"/>
      <c r="C2768" s="19" t="n"/>
      <c r="D2768" s="19" t="n"/>
      <c r="E2768" s="20" t="n"/>
      <c r="F2768" s="20" t="n"/>
      <c r="G2768" s="19" t="n"/>
      <c r="H2768" s="21">
        <f>IF(A2768="","",YEAR(A2768)*100+MONTH(A2768))</f>
        <v/>
      </c>
    </row>
    <row r="2769">
      <c r="A2769" s="18" t="n"/>
      <c r="B2769" s="19" t="n"/>
      <c r="C2769" s="19" t="n"/>
      <c r="D2769" s="19" t="n"/>
      <c r="E2769" s="20" t="n"/>
      <c r="F2769" s="20" t="n"/>
      <c r="G2769" s="19" t="n"/>
      <c r="H2769" s="21">
        <f>IF(A2769="","",YEAR(A2769)*100+MONTH(A2769))</f>
        <v/>
      </c>
    </row>
    <row r="2770">
      <c r="A2770" s="18" t="n"/>
      <c r="B2770" s="19" t="n"/>
      <c r="C2770" s="19" t="n"/>
      <c r="D2770" s="19" t="n"/>
      <c r="E2770" s="20" t="n"/>
      <c r="F2770" s="20" t="n"/>
      <c r="G2770" s="19" t="n"/>
      <c r="H2770" s="21">
        <f>IF(A2770="","",YEAR(A2770)*100+MONTH(A2770))</f>
        <v/>
      </c>
    </row>
    <row r="2771">
      <c r="A2771" s="18" t="n"/>
      <c r="B2771" s="19" t="n"/>
      <c r="C2771" s="19" t="n"/>
      <c r="D2771" s="19" t="n"/>
      <c r="E2771" s="20" t="n"/>
      <c r="F2771" s="20" t="n"/>
      <c r="G2771" s="19" t="n"/>
      <c r="H2771" s="21">
        <f>IF(A2771="","",YEAR(A2771)*100+MONTH(A2771))</f>
        <v/>
      </c>
    </row>
    <row r="2772">
      <c r="A2772" s="18" t="n"/>
      <c r="B2772" s="19" t="n"/>
      <c r="C2772" s="19" t="n"/>
      <c r="D2772" s="19" t="n"/>
      <c r="E2772" s="20" t="n"/>
      <c r="F2772" s="20" t="n"/>
      <c r="G2772" s="19" t="n"/>
      <c r="H2772" s="21">
        <f>IF(A2772="","",YEAR(A2772)*100+MONTH(A2772))</f>
        <v/>
      </c>
    </row>
    <row r="2773">
      <c r="A2773" s="18" t="n"/>
      <c r="B2773" s="19" t="n"/>
      <c r="C2773" s="19" t="n"/>
      <c r="D2773" s="19" t="n"/>
      <c r="E2773" s="20" t="n"/>
      <c r="F2773" s="20" t="n"/>
      <c r="G2773" s="19" t="n"/>
      <c r="H2773" s="21">
        <f>IF(A2773="","",YEAR(A2773)*100+MONTH(A2773))</f>
        <v/>
      </c>
    </row>
    <row r="2774">
      <c r="A2774" s="18" t="n"/>
      <c r="B2774" s="19" t="n"/>
      <c r="C2774" s="19" t="n"/>
      <c r="D2774" s="19" t="n"/>
      <c r="E2774" s="20" t="n"/>
      <c r="F2774" s="20" t="n"/>
      <c r="G2774" s="19" t="n"/>
      <c r="H2774" s="21">
        <f>IF(A2774="","",YEAR(A2774)*100+MONTH(A2774))</f>
        <v/>
      </c>
    </row>
    <row r="2775">
      <c r="A2775" s="18" t="n"/>
      <c r="B2775" s="19" t="n"/>
      <c r="C2775" s="19" t="n"/>
      <c r="D2775" s="19" t="n"/>
      <c r="E2775" s="20" t="n"/>
      <c r="F2775" s="20" t="n"/>
      <c r="G2775" s="19" t="n"/>
      <c r="H2775" s="21">
        <f>IF(A2775="","",YEAR(A2775)*100+MONTH(A2775))</f>
        <v/>
      </c>
    </row>
    <row r="2776">
      <c r="A2776" s="18" t="n"/>
      <c r="B2776" s="19" t="n"/>
      <c r="C2776" s="19" t="n"/>
      <c r="D2776" s="19" t="n"/>
      <c r="E2776" s="20" t="n"/>
      <c r="F2776" s="20" t="n"/>
      <c r="G2776" s="19" t="n"/>
      <c r="H2776" s="21">
        <f>IF(A2776="","",YEAR(A2776)*100+MONTH(A2776))</f>
        <v/>
      </c>
    </row>
    <row r="2777">
      <c r="A2777" s="18" t="n"/>
      <c r="B2777" s="19" t="n"/>
      <c r="C2777" s="19" t="n"/>
      <c r="D2777" s="19" t="n"/>
      <c r="E2777" s="20" t="n"/>
      <c r="F2777" s="20" t="n"/>
      <c r="G2777" s="19" t="n"/>
      <c r="H2777" s="21">
        <f>IF(A2777="","",YEAR(A2777)*100+MONTH(A2777))</f>
        <v/>
      </c>
    </row>
    <row r="2778">
      <c r="A2778" s="18" t="n"/>
      <c r="B2778" s="19" t="n"/>
      <c r="C2778" s="19" t="n"/>
      <c r="D2778" s="19" t="n"/>
      <c r="E2778" s="20" t="n"/>
      <c r="F2778" s="20" t="n"/>
      <c r="G2778" s="19" t="n"/>
      <c r="H2778" s="21">
        <f>IF(A2778="","",YEAR(A2778)*100+MONTH(A2778))</f>
        <v/>
      </c>
    </row>
    <row r="2779">
      <c r="A2779" s="18" t="n"/>
      <c r="B2779" s="19" t="n"/>
      <c r="C2779" s="19" t="n"/>
      <c r="D2779" s="19" t="n"/>
      <c r="E2779" s="20" t="n"/>
      <c r="F2779" s="20" t="n"/>
      <c r="G2779" s="19" t="n"/>
      <c r="H2779" s="21">
        <f>IF(A2779="","",YEAR(A2779)*100+MONTH(A2779))</f>
        <v/>
      </c>
    </row>
    <row r="2780">
      <c r="A2780" s="18" t="n"/>
      <c r="B2780" s="19" t="n"/>
      <c r="C2780" s="19" t="n"/>
      <c r="D2780" s="19" t="n"/>
      <c r="E2780" s="20" t="n"/>
      <c r="F2780" s="20" t="n"/>
      <c r="G2780" s="19" t="n"/>
      <c r="H2780" s="21">
        <f>IF(A2780="","",YEAR(A2780)*100+MONTH(A2780))</f>
        <v/>
      </c>
    </row>
    <row r="2781">
      <c r="A2781" s="18" t="n"/>
      <c r="B2781" s="19" t="n"/>
      <c r="C2781" s="19" t="n"/>
      <c r="D2781" s="19" t="n"/>
      <c r="E2781" s="20" t="n"/>
      <c r="F2781" s="20" t="n"/>
      <c r="G2781" s="19" t="n"/>
      <c r="H2781" s="21">
        <f>IF(A2781="","",YEAR(A2781)*100+MONTH(A2781))</f>
        <v/>
      </c>
    </row>
    <row r="2782">
      <c r="A2782" s="18" t="n"/>
      <c r="B2782" s="19" t="n"/>
      <c r="C2782" s="19" t="n"/>
      <c r="D2782" s="19" t="n"/>
      <c r="E2782" s="20" t="n"/>
      <c r="F2782" s="20" t="n"/>
      <c r="G2782" s="19" t="n"/>
      <c r="H2782" s="21">
        <f>IF(A2782="","",YEAR(A2782)*100+MONTH(A2782))</f>
        <v/>
      </c>
    </row>
    <row r="2783">
      <c r="A2783" s="18" t="n"/>
      <c r="B2783" s="19" t="n"/>
      <c r="C2783" s="19" t="n"/>
      <c r="D2783" s="19" t="n"/>
      <c r="E2783" s="20" t="n"/>
      <c r="F2783" s="20" t="n"/>
      <c r="G2783" s="19" t="n"/>
      <c r="H2783" s="21">
        <f>IF(A2783="","",YEAR(A2783)*100+MONTH(A2783))</f>
        <v/>
      </c>
    </row>
    <row r="2784">
      <c r="A2784" s="18" t="n"/>
      <c r="B2784" s="19" t="n"/>
      <c r="C2784" s="19" t="n"/>
      <c r="D2784" s="19" t="n"/>
      <c r="E2784" s="20" t="n"/>
      <c r="F2784" s="20" t="n"/>
      <c r="G2784" s="19" t="n"/>
      <c r="H2784" s="21">
        <f>IF(A2784="","",YEAR(A2784)*100+MONTH(A2784))</f>
        <v/>
      </c>
    </row>
    <row r="2785">
      <c r="A2785" s="18" t="n"/>
      <c r="B2785" s="19" t="n"/>
      <c r="C2785" s="19" t="n"/>
      <c r="D2785" s="19" t="n"/>
      <c r="E2785" s="20" t="n"/>
      <c r="F2785" s="20" t="n"/>
      <c r="G2785" s="19" t="n"/>
      <c r="H2785" s="21">
        <f>IF(A2785="","",YEAR(A2785)*100+MONTH(A2785))</f>
        <v/>
      </c>
    </row>
    <row r="2786">
      <c r="A2786" s="18" t="n"/>
      <c r="B2786" s="19" t="n"/>
      <c r="C2786" s="19" t="n"/>
      <c r="D2786" s="19" t="n"/>
      <c r="E2786" s="20" t="n"/>
      <c r="F2786" s="20" t="n"/>
      <c r="G2786" s="19" t="n"/>
      <c r="H2786" s="21">
        <f>IF(A2786="","",YEAR(A2786)*100+MONTH(A2786))</f>
        <v/>
      </c>
    </row>
    <row r="2787">
      <c r="A2787" s="18" t="n"/>
      <c r="B2787" s="19" t="n"/>
      <c r="C2787" s="19" t="n"/>
      <c r="D2787" s="19" t="n"/>
      <c r="E2787" s="20" t="n"/>
      <c r="F2787" s="20" t="n"/>
      <c r="G2787" s="19" t="n"/>
      <c r="H2787" s="21">
        <f>IF(A2787="","",YEAR(A2787)*100+MONTH(A2787))</f>
        <v/>
      </c>
    </row>
    <row r="2788">
      <c r="A2788" s="18" t="n"/>
      <c r="B2788" s="19" t="n"/>
      <c r="C2788" s="19" t="n"/>
      <c r="D2788" s="19" t="n"/>
      <c r="E2788" s="20" t="n"/>
      <c r="F2788" s="20" t="n"/>
      <c r="G2788" s="19" t="n"/>
      <c r="H2788" s="21">
        <f>IF(A2788="","",YEAR(A2788)*100+MONTH(A2788))</f>
        <v/>
      </c>
    </row>
    <row r="2789">
      <c r="A2789" s="18" t="n"/>
      <c r="B2789" s="19" t="n"/>
      <c r="C2789" s="19" t="n"/>
      <c r="D2789" s="19" t="n"/>
      <c r="E2789" s="20" t="n"/>
      <c r="F2789" s="20" t="n"/>
      <c r="G2789" s="19" t="n"/>
      <c r="H2789" s="21">
        <f>IF(A2789="","",YEAR(A2789)*100+MONTH(A2789))</f>
        <v/>
      </c>
    </row>
    <row r="2790">
      <c r="A2790" s="18" t="n"/>
      <c r="B2790" s="19" t="n"/>
      <c r="C2790" s="19" t="n"/>
      <c r="D2790" s="19" t="n"/>
      <c r="E2790" s="20" t="n"/>
      <c r="F2790" s="20" t="n"/>
      <c r="G2790" s="19" t="n"/>
      <c r="H2790" s="21">
        <f>IF(A2790="","",YEAR(A2790)*100+MONTH(A2790))</f>
        <v/>
      </c>
    </row>
    <row r="2791">
      <c r="A2791" s="18" t="n"/>
      <c r="B2791" s="19" t="n"/>
      <c r="C2791" s="19" t="n"/>
      <c r="D2791" s="19" t="n"/>
      <c r="E2791" s="20" t="n"/>
      <c r="F2791" s="20" t="n"/>
      <c r="G2791" s="19" t="n"/>
      <c r="H2791" s="21">
        <f>IF(A2791="","",YEAR(A2791)*100+MONTH(A2791))</f>
        <v/>
      </c>
    </row>
    <row r="2792">
      <c r="A2792" s="18" t="n"/>
      <c r="B2792" s="19" t="n"/>
      <c r="C2792" s="19" t="n"/>
      <c r="D2792" s="19" t="n"/>
      <c r="E2792" s="20" t="n"/>
      <c r="F2792" s="20" t="n"/>
      <c r="G2792" s="19" t="n"/>
      <c r="H2792" s="21">
        <f>IF(A2792="","",YEAR(A2792)*100+MONTH(A2792))</f>
        <v/>
      </c>
    </row>
    <row r="2793">
      <c r="A2793" s="18" t="n"/>
      <c r="B2793" s="19" t="n"/>
      <c r="C2793" s="19" t="n"/>
      <c r="D2793" s="19" t="n"/>
      <c r="E2793" s="20" t="n"/>
      <c r="F2793" s="20" t="n"/>
      <c r="G2793" s="19" t="n"/>
      <c r="H2793" s="21">
        <f>IF(A2793="","",YEAR(A2793)*100+MONTH(A2793))</f>
        <v/>
      </c>
    </row>
    <row r="2794">
      <c r="A2794" s="18" t="n"/>
      <c r="B2794" s="19" t="n"/>
      <c r="C2794" s="19" t="n"/>
      <c r="D2794" s="19" t="n"/>
      <c r="E2794" s="20" t="n"/>
      <c r="F2794" s="20" t="n"/>
      <c r="G2794" s="19" t="n"/>
      <c r="H2794" s="21">
        <f>IF(A2794="","",YEAR(A2794)*100+MONTH(A2794))</f>
        <v/>
      </c>
    </row>
    <row r="2795">
      <c r="A2795" s="18" t="n"/>
      <c r="B2795" s="19" t="n"/>
      <c r="C2795" s="19" t="n"/>
      <c r="D2795" s="19" t="n"/>
      <c r="E2795" s="20" t="n"/>
      <c r="F2795" s="20" t="n"/>
      <c r="G2795" s="19" t="n"/>
      <c r="H2795" s="21">
        <f>IF(A2795="","",YEAR(A2795)*100+MONTH(A2795))</f>
        <v/>
      </c>
    </row>
    <row r="2796">
      <c r="A2796" s="18" t="n"/>
      <c r="B2796" s="19" t="n"/>
      <c r="C2796" s="19" t="n"/>
      <c r="D2796" s="19" t="n"/>
      <c r="E2796" s="20" t="n"/>
      <c r="F2796" s="20" t="n"/>
      <c r="G2796" s="19" t="n"/>
      <c r="H2796" s="21">
        <f>IF(A2796="","",YEAR(A2796)*100+MONTH(A2796))</f>
        <v/>
      </c>
    </row>
    <row r="2797">
      <c r="A2797" s="18" t="n"/>
      <c r="B2797" s="19" t="n"/>
      <c r="C2797" s="19" t="n"/>
      <c r="D2797" s="19" t="n"/>
      <c r="E2797" s="20" t="n"/>
      <c r="F2797" s="20" t="n"/>
      <c r="G2797" s="19" t="n"/>
      <c r="H2797" s="21">
        <f>IF(A2797="","",YEAR(A2797)*100+MONTH(A2797))</f>
        <v/>
      </c>
    </row>
    <row r="2798">
      <c r="A2798" s="18" t="n"/>
      <c r="B2798" s="19" t="n"/>
      <c r="C2798" s="19" t="n"/>
      <c r="D2798" s="19" t="n"/>
      <c r="E2798" s="20" t="n"/>
      <c r="F2798" s="20" t="n"/>
      <c r="G2798" s="19" t="n"/>
      <c r="H2798" s="21">
        <f>IF(A2798="","",YEAR(A2798)*100+MONTH(A2798))</f>
        <v/>
      </c>
    </row>
    <row r="2799">
      <c r="A2799" s="18" t="n"/>
      <c r="B2799" s="19" t="n"/>
      <c r="C2799" s="19" t="n"/>
      <c r="D2799" s="19" t="n"/>
      <c r="E2799" s="20" t="n"/>
      <c r="F2799" s="20" t="n"/>
      <c r="G2799" s="19" t="n"/>
      <c r="H2799" s="21">
        <f>IF(A2799="","",YEAR(A2799)*100+MONTH(A2799))</f>
        <v/>
      </c>
    </row>
    <row r="2800">
      <c r="A2800" s="18" t="n"/>
      <c r="B2800" s="19" t="n"/>
      <c r="C2800" s="19" t="n"/>
      <c r="D2800" s="19" t="n"/>
      <c r="E2800" s="20" t="n"/>
      <c r="F2800" s="20" t="n"/>
      <c r="G2800" s="19" t="n"/>
      <c r="H2800" s="21">
        <f>IF(A2800="","",YEAR(A2800)*100+MONTH(A2800))</f>
        <v/>
      </c>
    </row>
    <row r="2801">
      <c r="A2801" s="18" t="n"/>
      <c r="B2801" s="19" t="n"/>
      <c r="C2801" s="19" t="n"/>
      <c r="D2801" s="19" t="n"/>
      <c r="E2801" s="20" t="n"/>
      <c r="F2801" s="20" t="n"/>
      <c r="G2801" s="19" t="n"/>
      <c r="H2801" s="21">
        <f>IF(A2801="","",YEAR(A2801)*100+MONTH(A2801))</f>
        <v/>
      </c>
    </row>
    <row r="2802">
      <c r="A2802" s="18" t="n"/>
      <c r="B2802" s="19" t="n"/>
      <c r="C2802" s="19" t="n"/>
      <c r="D2802" s="19" t="n"/>
      <c r="E2802" s="20" t="n"/>
      <c r="F2802" s="20" t="n"/>
      <c r="G2802" s="19" t="n"/>
      <c r="H2802" s="21">
        <f>IF(A2802="","",YEAR(A2802)*100+MONTH(A2802))</f>
        <v/>
      </c>
    </row>
    <row r="2803">
      <c r="A2803" s="18" t="n"/>
      <c r="B2803" s="19" t="n"/>
      <c r="C2803" s="19" t="n"/>
      <c r="D2803" s="19" t="n"/>
      <c r="E2803" s="20" t="n"/>
      <c r="F2803" s="20" t="n"/>
      <c r="G2803" s="19" t="n"/>
      <c r="H2803" s="21">
        <f>IF(A2803="","",YEAR(A2803)*100+MONTH(A2803))</f>
        <v/>
      </c>
    </row>
    <row r="2804">
      <c r="A2804" s="18" t="n"/>
      <c r="B2804" s="19" t="n"/>
      <c r="C2804" s="19" t="n"/>
      <c r="D2804" s="19" t="n"/>
      <c r="E2804" s="20" t="n"/>
      <c r="F2804" s="20" t="n"/>
      <c r="G2804" s="19" t="n"/>
      <c r="H2804" s="21">
        <f>IF(A2804="","",YEAR(A2804)*100+MONTH(A2804))</f>
        <v/>
      </c>
    </row>
    <row r="2805">
      <c r="A2805" s="18" t="n"/>
      <c r="B2805" s="19" t="n"/>
      <c r="C2805" s="19" t="n"/>
      <c r="D2805" s="19" t="n"/>
      <c r="E2805" s="20" t="n"/>
      <c r="F2805" s="20" t="n"/>
      <c r="G2805" s="19" t="n"/>
      <c r="H2805" s="21">
        <f>IF(A2805="","",YEAR(A2805)*100+MONTH(A2805))</f>
        <v/>
      </c>
    </row>
    <row r="2806">
      <c r="A2806" s="18" t="n"/>
      <c r="B2806" s="19" t="n"/>
      <c r="C2806" s="19" t="n"/>
      <c r="D2806" s="19" t="n"/>
      <c r="E2806" s="20" t="n"/>
      <c r="F2806" s="20" t="n"/>
      <c r="G2806" s="19" t="n"/>
      <c r="H2806" s="21">
        <f>IF(A2806="","",YEAR(A2806)*100+MONTH(A2806))</f>
        <v/>
      </c>
    </row>
    <row r="2807">
      <c r="A2807" s="18" t="n"/>
      <c r="B2807" s="19" t="n"/>
      <c r="C2807" s="19" t="n"/>
      <c r="D2807" s="19" t="n"/>
      <c r="E2807" s="20" t="n"/>
      <c r="F2807" s="20" t="n"/>
      <c r="G2807" s="19" t="n"/>
      <c r="H2807" s="21">
        <f>IF(A2807="","",YEAR(A2807)*100+MONTH(A2807))</f>
        <v/>
      </c>
    </row>
    <row r="2808">
      <c r="A2808" s="18" t="n"/>
      <c r="B2808" s="19" t="n"/>
      <c r="C2808" s="19" t="n"/>
      <c r="D2808" s="19" t="n"/>
      <c r="E2808" s="20" t="n"/>
      <c r="F2808" s="20" t="n"/>
      <c r="G2808" s="19" t="n"/>
      <c r="H2808" s="21">
        <f>IF(A2808="","",YEAR(A2808)*100+MONTH(A2808))</f>
        <v/>
      </c>
    </row>
    <row r="2809">
      <c r="A2809" s="18" t="n"/>
      <c r="B2809" s="19" t="n"/>
      <c r="C2809" s="19" t="n"/>
      <c r="D2809" s="19" t="n"/>
      <c r="E2809" s="20" t="n"/>
      <c r="F2809" s="20" t="n"/>
      <c r="G2809" s="19" t="n"/>
      <c r="H2809" s="21">
        <f>IF(A2809="","",YEAR(A2809)*100+MONTH(A2809))</f>
        <v/>
      </c>
    </row>
    <row r="2810">
      <c r="A2810" s="18" t="n"/>
      <c r="B2810" s="19" t="n"/>
      <c r="C2810" s="19" t="n"/>
      <c r="D2810" s="19" t="n"/>
      <c r="E2810" s="20" t="n"/>
      <c r="F2810" s="20" t="n"/>
      <c r="G2810" s="19" t="n"/>
      <c r="H2810" s="21">
        <f>IF(A2810="","",YEAR(A2810)*100+MONTH(A2810))</f>
        <v/>
      </c>
    </row>
    <row r="2811">
      <c r="A2811" s="18" t="n"/>
      <c r="B2811" s="19" t="n"/>
      <c r="C2811" s="19" t="n"/>
      <c r="D2811" s="19" t="n"/>
      <c r="E2811" s="20" t="n"/>
      <c r="F2811" s="20" t="n"/>
      <c r="G2811" s="19" t="n"/>
      <c r="H2811" s="21">
        <f>IF(A2811="","",YEAR(A2811)*100+MONTH(A2811))</f>
        <v/>
      </c>
    </row>
    <row r="2812">
      <c r="A2812" s="18" t="n"/>
      <c r="B2812" s="19" t="n"/>
      <c r="C2812" s="19" t="n"/>
      <c r="D2812" s="19" t="n"/>
      <c r="E2812" s="20" t="n"/>
      <c r="F2812" s="20" t="n"/>
      <c r="G2812" s="19" t="n"/>
      <c r="H2812" s="21">
        <f>IF(A2812="","",YEAR(A2812)*100+MONTH(A2812))</f>
        <v/>
      </c>
    </row>
    <row r="2813">
      <c r="A2813" s="18" t="n"/>
      <c r="B2813" s="19" t="n"/>
      <c r="C2813" s="19" t="n"/>
      <c r="D2813" s="19" t="n"/>
      <c r="E2813" s="20" t="n"/>
      <c r="F2813" s="20" t="n"/>
      <c r="G2813" s="19" t="n"/>
      <c r="H2813" s="21">
        <f>IF(A2813="","",YEAR(A2813)*100+MONTH(A2813))</f>
        <v/>
      </c>
    </row>
    <row r="2814">
      <c r="A2814" s="18" t="n"/>
      <c r="B2814" s="19" t="n"/>
      <c r="C2814" s="19" t="n"/>
      <c r="D2814" s="19" t="n"/>
      <c r="E2814" s="20" t="n"/>
      <c r="F2814" s="20" t="n"/>
      <c r="G2814" s="19" t="n"/>
      <c r="H2814" s="21">
        <f>IF(A2814="","",YEAR(A2814)*100+MONTH(A2814))</f>
        <v/>
      </c>
    </row>
    <row r="2815">
      <c r="A2815" s="18" t="n"/>
      <c r="B2815" s="19" t="n"/>
      <c r="C2815" s="19" t="n"/>
      <c r="D2815" s="19" t="n"/>
      <c r="E2815" s="20" t="n"/>
      <c r="F2815" s="20" t="n"/>
      <c r="G2815" s="19" t="n"/>
      <c r="H2815" s="21">
        <f>IF(A2815="","",YEAR(A2815)*100+MONTH(A2815))</f>
        <v/>
      </c>
    </row>
    <row r="2816">
      <c r="A2816" s="18" t="n"/>
      <c r="B2816" s="19" t="n"/>
      <c r="C2816" s="19" t="n"/>
      <c r="D2816" s="19" t="n"/>
      <c r="E2816" s="20" t="n"/>
      <c r="F2816" s="20" t="n"/>
      <c r="G2816" s="19" t="n"/>
      <c r="H2816" s="21">
        <f>IF(A2816="","",YEAR(A2816)*100+MONTH(A2816))</f>
        <v/>
      </c>
    </row>
    <row r="2817">
      <c r="A2817" s="18" t="n"/>
      <c r="B2817" s="19" t="n"/>
      <c r="C2817" s="19" t="n"/>
      <c r="D2817" s="19" t="n"/>
      <c r="E2817" s="20" t="n"/>
      <c r="F2817" s="20" t="n"/>
      <c r="G2817" s="19" t="n"/>
      <c r="H2817" s="21">
        <f>IF(A2817="","",YEAR(A2817)*100+MONTH(A2817))</f>
        <v/>
      </c>
    </row>
    <row r="2818">
      <c r="A2818" s="18" t="n"/>
      <c r="B2818" s="19" t="n"/>
      <c r="C2818" s="19" t="n"/>
      <c r="D2818" s="19" t="n"/>
      <c r="E2818" s="20" t="n"/>
      <c r="F2818" s="20" t="n"/>
      <c r="G2818" s="19" t="n"/>
      <c r="H2818" s="21">
        <f>IF(A2818="","",YEAR(A2818)*100+MONTH(A2818))</f>
        <v/>
      </c>
    </row>
    <row r="2819">
      <c r="A2819" s="18" t="n"/>
      <c r="B2819" s="19" t="n"/>
      <c r="C2819" s="19" t="n"/>
      <c r="D2819" s="19" t="n"/>
      <c r="E2819" s="20" t="n"/>
      <c r="F2819" s="20" t="n"/>
      <c r="G2819" s="19" t="n"/>
      <c r="H2819" s="21">
        <f>IF(A2819="","",YEAR(A2819)*100+MONTH(A2819))</f>
        <v/>
      </c>
    </row>
    <row r="2820">
      <c r="A2820" s="18" t="n"/>
      <c r="B2820" s="19" t="n"/>
      <c r="C2820" s="19" t="n"/>
      <c r="D2820" s="19" t="n"/>
      <c r="E2820" s="20" t="n"/>
      <c r="F2820" s="20" t="n"/>
      <c r="G2820" s="19" t="n"/>
      <c r="H2820" s="21">
        <f>IF(A2820="","",YEAR(A2820)*100+MONTH(A2820))</f>
        <v/>
      </c>
    </row>
    <row r="2821">
      <c r="A2821" s="18" t="n"/>
      <c r="B2821" s="19" t="n"/>
      <c r="C2821" s="19" t="n"/>
      <c r="D2821" s="19" t="n"/>
      <c r="E2821" s="20" t="n"/>
      <c r="F2821" s="20" t="n"/>
      <c r="G2821" s="19" t="n"/>
      <c r="H2821" s="21">
        <f>IF(A2821="","",YEAR(A2821)*100+MONTH(A2821))</f>
        <v/>
      </c>
    </row>
    <row r="2822">
      <c r="A2822" s="18" t="n"/>
      <c r="B2822" s="19" t="n"/>
      <c r="C2822" s="19" t="n"/>
      <c r="D2822" s="19" t="n"/>
      <c r="E2822" s="20" t="n"/>
      <c r="F2822" s="20" t="n"/>
      <c r="G2822" s="19" t="n"/>
      <c r="H2822" s="21">
        <f>IF(A2822="","",YEAR(A2822)*100+MONTH(A2822))</f>
        <v/>
      </c>
    </row>
    <row r="2823">
      <c r="A2823" s="18" t="n"/>
      <c r="B2823" s="19" t="n"/>
      <c r="C2823" s="19" t="n"/>
      <c r="D2823" s="19" t="n"/>
      <c r="E2823" s="20" t="n"/>
      <c r="F2823" s="20" t="n"/>
      <c r="G2823" s="19" t="n"/>
      <c r="H2823" s="21">
        <f>IF(A2823="","",YEAR(A2823)*100+MONTH(A2823))</f>
        <v/>
      </c>
    </row>
    <row r="2824">
      <c r="A2824" s="18" t="n"/>
      <c r="B2824" s="19" t="n"/>
      <c r="C2824" s="19" t="n"/>
      <c r="D2824" s="19" t="n"/>
      <c r="E2824" s="20" t="n"/>
      <c r="F2824" s="20" t="n"/>
      <c r="G2824" s="19" t="n"/>
      <c r="H2824" s="21">
        <f>IF(A2824="","",YEAR(A2824)*100+MONTH(A2824))</f>
        <v/>
      </c>
    </row>
    <row r="2825">
      <c r="A2825" s="18" t="n"/>
      <c r="B2825" s="19" t="n"/>
      <c r="C2825" s="19" t="n"/>
      <c r="D2825" s="19" t="n"/>
      <c r="E2825" s="20" t="n"/>
      <c r="F2825" s="20" t="n"/>
      <c r="G2825" s="19" t="n"/>
      <c r="H2825" s="21">
        <f>IF(A2825="","",YEAR(A2825)*100+MONTH(A2825))</f>
        <v/>
      </c>
    </row>
    <row r="2826">
      <c r="A2826" s="18" t="n"/>
      <c r="B2826" s="19" t="n"/>
      <c r="C2826" s="19" t="n"/>
      <c r="D2826" s="19" t="n"/>
      <c r="E2826" s="20" t="n"/>
      <c r="F2826" s="20" t="n"/>
      <c r="G2826" s="19" t="n"/>
      <c r="H2826" s="21">
        <f>IF(A2826="","",YEAR(A2826)*100+MONTH(A2826))</f>
        <v/>
      </c>
    </row>
    <row r="2827">
      <c r="A2827" s="18" t="n"/>
      <c r="B2827" s="19" t="n"/>
      <c r="C2827" s="19" t="n"/>
      <c r="D2827" s="19" t="n"/>
      <c r="E2827" s="20" t="n"/>
      <c r="F2827" s="20" t="n"/>
      <c r="G2827" s="19" t="n"/>
      <c r="H2827" s="21">
        <f>IF(A2827="","",YEAR(A2827)*100+MONTH(A2827))</f>
        <v/>
      </c>
    </row>
    <row r="2828">
      <c r="A2828" s="18" t="n"/>
      <c r="B2828" s="19" t="n"/>
      <c r="C2828" s="19" t="n"/>
      <c r="D2828" s="19" t="n"/>
      <c r="E2828" s="20" t="n"/>
      <c r="F2828" s="20" t="n"/>
      <c r="G2828" s="19" t="n"/>
      <c r="H2828" s="21">
        <f>IF(A2828="","",YEAR(A2828)*100+MONTH(A2828))</f>
        <v/>
      </c>
    </row>
    <row r="2829">
      <c r="A2829" s="18" t="n"/>
      <c r="B2829" s="19" t="n"/>
      <c r="C2829" s="19" t="n"/>
      <c r="D2829" s="19" t="n"/>
      <c r="E2829" s="20" t="n"/>
      <c r="F2829" s="20" t="n"/>
      <c r="G2829" s="19" t="n"/>
      <c r="H2829" s="21">
        <f>IF(A2829="","",YEAR(A2829)*100+MONTH(A2829))</f>
        <v/>
      </c>
    </row>
    <row r="2830">
      <c r="A2830" s="18" t="n"/>
      <c r="B2830" s="19" t="n"/>
      <c r="C2830" s="19" t="n"/>
      <c r="D2830" s="19" t="n"/>
      <c r="E2830" s="20" t="n"/>
      <c r="F2830" s="20" t="n"/>
      <c r="G2830" s="19" t="n"/>
      <c r="H2830" s="21">
        <f>IF(A2830="","",YEAR(A2830)*100+MONTH(A2830))</f>
        <v/>
      </c>
    </row>
    <row r="2831">
      <c r="A2831" s="18" t="n"/>
      <c r="B2831" s="19" t="n"/>
      <c r="C2831" s="19" t="n"/>
      <c r="D2831" s="19" t="n"/>
      <c r="E2831" s="20" t="n"/>
      <c r="F2831" s="20" t="n"/>
      <c r="G2831" s="19" t="n"/>
      <c r="H2831" s="21">
        <f>IF(A2831="","",YEAR(A2831)*100+MONTH(A2831))</f>
        <v/>
      </c>
    </row>
    <row r="2832">
      <c r="A2832" s="18" t="n"/>
      <c r="B2832" s="19" t="n"/>
      <c r="C2832" s="19" t="n"/>
      <c r="D2832" s="19" t="n"/>
      <c r="E2832" s="20" t="n"/>
      <c r="F2832" s="20" t="n"/>
      <c r="G2832" s="19" t="n"/>
      <c r="H2832" s="21">
        <f>IF(A2832="","",YEAR(A2832)*100+MONTH(A2832))</f>
        <v/>
      </c>
    </row>
    <row r="2833">
      <c r="A2833" s="18" t="n"/>
      <c r="B2833" s="19" t="n"/>
      <c r="C2833" s="19" t="n"/>
      <c r="D2833" s="19" t="n"/>
      <c r="E2833" s="20" t="n"/>
      <c r="F2833" s="20" t="n"/>
      <c r="G2833" s="19" t="n"/>
      <c r="H2833" s="21">
        <f>IF(A2833="","",YEAR(A2833)*100+MONTH(A2833))</f>
        <v/>
      </c>
    </row>
    <row r="2834">
      <c r="A2834" s="18" t="n"/>
      <c r="B2834" s="19" t="n"/>
      <c r="C2834" s="19" t="n"/>
      <c r="D2834" s="19" t="n"/>
      <c r="E2834" s="20" t="n"/>
      <c r="F2834" s="20" t="n"/>
      <c r="G2834" s="19" t="n"/>
      <c r="H2834" s="21">
        <f>IF(A2834="","",YEAR(A2834)*100+MONTH(A2834))</f>
        <v/>
      </c>
    </row>
    <row r="2835">
      <c r="A2835" s="18" t="n"/>
      <c r="B2835" s="19" t="n"/>
      <c r="C2835" s="19" t="n"/>
      <c r="D2835" s="19" t="n"/>
      <c r="E2835" s="20" t="n"/>
      <c r="F2835" s="20" t="n"/>
      <c r="G2835" s="19" t="n"/>
      <c r="H2835" s="21">
        <f>IF(A2835="","",YEAR(A2835)*100+MONTH(A2835))</f>
        <v/>
      </c>
    </row>
    <row r="2836">
      <c r="A2836" s="18" t="n"/>
      <c r="B2836" s="19" t="n"/>
      <c r="C2836" s="19" t="n"/>
      <c r="D2836" s="19" t="n"/>
      <c r="E2836" s="20" t="n"/>
      <c r="F2836" s="20" t="n"/>
      <c r="G2836" s="19" t="n"/>
      <c r="H2836" s="21">
        <f>IF(A2836="","",YEAR(A2836)*100+MONTH(A2836))</f>
        <v/>
      </c>
    </row>
    <row r="2837">
      <c r="A2837" s="18" t="n"/>
      <c r="B2837" s="19" t="n"/>
      <c r="C2837" s="19" t="n"/>
      <c r="D2837" s="19" t="n"/>
      <c r="E2837" s="20" t="n"/>
      <c r="F2837" s="20" t="n"/>
      <c r="G2837" s="19" t="n"/>
      <c r="H2837" s="21">
        <f>IF(A2837="","",YEAR(A2837)*100+MONTH(A2837))</f>
        <v/>
      </c>
    </row>
    <row r="2838">
      <c r="A2838" s="18" t="n"/>
      <c r="B2838" s="19" t="n"/>
      <c r="C2838" s="19" t="n"/>
      <c r="D2838" s="19" t="n"/>
      <c r="E2838" s="20" t="n"/>
      <c r="F2838" s="20" t="n"/>
      <c r="G2838" s="19" t="n"/>
      <c r="H2838" s="21">
        <f>IF(A2838="","",YEAR(A2838)*100+MONTH(A2838))</f>
        <v/>
      </c>
    </row>
    <row r="2839">
      <c r="A2839" s="18" t="n"/>
      <c r="B2839" s="19" t="n"/>
      <c r="C2839" s="19" t="n"/>
      <c r="D2839" s="19" t="n"/>
      <c r="E2839" s="20" t="n"/>
      <c r="F2839" s="20" t="n"/>
      <c r="G2839" s="19" t="n"/>
      <c r="H2839" s="21">
        <f>IF(A2839="","",YEAR(A2839)*100+MONTH(A2839))</f>
        <v/>
      </c>
    </row>
    <row r="2840">
      <c r="A2840" s="18" t="n"/>
      <c r="B2840" s="19" t="n"/>
      <c r="C2840" s="19" t="n"/>
      <c r="D2840" s="19" t="n"/>
      <c r="E2840" s="20" t="n"/>
      <c r="F2840" s="20" t="n"/>
      <c r="G2840" s="19" t="n"/>
      <c r="H2840" s="21">
        <f>IF(A2840="","",YEAR(A2840)*100+MONTH(A2840))</f>
        <v/>
      </c>
    </row>
    <row r="2841">
      <c r="A2841" s="18" t="n"/>
      <c r="B2841" s="19" t="n"/>
      <c r="C2841" s="19" t="n"/>
      <c r="D2841" s="19" t="n"/>
      <c r="E2841" s="20" t="n"/>
      <c r="F2841" s="20" t="n"/>
      <c r="G2841" s="19" t="n"/>
      <c r="H2841" s="21">
        <f>IF(A2841="","",YEAR(A2841)*100+MONTH(A2841))</f>
        <v/>
      </c>
    </row>
    <row r="2842">
      <c r="A2842" s="18" t="n"/>
      <c r="B2842" s="19" t="n"/>
      <c r="C2842" s="19" t="n"/>
      <c r="D2842" s="19" t="n"/>
      <c r="E2842" s="20" t="n"/>
      <c r="F2842" s="20" t="n"/>
      <c r="G2842" s="19" t="n"/>
      <c r="H2842" s="21">
        <f>IF(A2842="","",YEAR(A2842)*100+MONTH(A2842))</f>
        <v/>
      </c>
    </row>
    <row r="2843">
      <c r="A2843" s="18" t="n"/>
      <c r="B2843" s="19" t="n"/>
      <c r="C2843" s="19" t="n"/>
      <c r="D2843" s="19" t="n"/>
      <c r="E2843" s="20" t="n"/>
      <c r="F2843" s="20" t="n"/>
      <c r="G2843" s="19" t="n"/>
      <c r="H2843" s="21">
        <f>IF(A2843="","",YEAR(A2843)*100+MONTH(A2843))</f>
        <v/>
      </c>
    </row>
    <row r="2844">
      <c r="A2844" s="18" t="n"/>
      <c r="B2844" s="19" t="n"/>
      <c r="C2844" s="19" t="n"/>
      <c r="D2844" s="19" t="n"/>
      <c r="E2844" s="20" t="n"/>
      <c r="F2844" s="20" t="n"/>
      <c r="G2844" s="19" t="n"/>
      <c r="H2844" s="21">
        <f>IF(A2844="","",YEAR(A2844)*100+MONTH(A2844))</f>
        <v/>
      </c>
    </row>
    <row r="2845">
      <c r="A2845" s="18" t="n"/>
      <c r="B2845" s="19" t="n"/>
      <c r="C2845" s="19" t="n"/>
      <c r="D2845" s="19" t="n"/>
      <c r="E2845" s="20" t="n"/>
      <c r="F2845" s="20" t="n"/>
      <c r="G2845" s="19" t="n"/>
      <c r="H2845" s="21">
        <f>IF(A2845="","",YEAR(A2845)*100+MONTH(A2845))</f>
        <v/>
      </c>
    </row>
    <row r="2846">
      <c r="A2846" s="18" t="n"/>
      <c r="B2846" s="19" t="n"/>
      <c r="C2846" s="19" t="n"/>
      <c r="D2846" s="19" t="n"/>
      <c r="E2846" s="20" t="n"/>
      <c r="F2846" s="20" t="n"/>
      <c r="G2846" s="19" t="n"/>
      <c r="H2846" s="21">
        <f>IF(A2846="","",YEAR(A2846)*100+MONTH(A2846))</f>
        <v/>
      </c>
    </row>
    <row r="2847">
      <c r="A2847" s="18" t="n"/>
      <c r="B2847" s="19" t="n"/>
      <c r="C2847" s="19" t="n"/>
      <c r="D2847" s="19" t="n"/>
      <c r="E2847" s="20" t="n"/>
      <c r="F2847" s="20" t="n"/>
      <c r="G2847" s="19" t="n"/>
      <c r="H2847" s="21">
        <f>IF(A2847="","",YEAR(A2847)*100+MONTH(A2847))</f>
        <v/>
      </c>
    </row>
    <row r="2848">
      <c r="A2848" s="18" t="n"/>
      <c r="B2848" s="19" t="n"/>
      <c r="C2848" s="19" t="n"/>
      <c r="D2848" s="19" t="n"/>
      <c r="E2848" s="20" t="n"/>
      <c r="F2848" s="20" t="n"/>
      <c r="G2848" s="19" t="n"/>
      <c r="H2848" s="21">
        <f>IF(A2848="","",YEAR(A2848)*100+MONTH(A2848))</f>
        <v/>
      </c>
    </row>
    <row r="2849">
      <c r="A2849" s="18" t="n"/>
      <c r="B2849" s="19" t="n"/>
      <c r="C2849" s="19" t="n"/>
      <c r="D2849" s="19" t="n"/>
      <c r="E2849" s="20" t="n"/>
      <c r="F2849" s="20" t="n"/>
      <c r="G2849" s="19" t="n"/>
      <c r="H2849" s="21">
        <f>IF(A2849="","",YEAR(A2849)*100+MONTH(A2849))</f>
        <v/>
      </c>
    </row>
    <row r="2850">
      <c r="A2850" s="18" t="n"/>
      <c r="B2850" s="19" t="n"/>
      <c r="C2850" s="19" t="n"/>
      <c r="D2850" s="19" t="n"/>
      <c r="E2850" s="20" t="n"/>
      <c r="F2850" s="20" t="n"/>
      <c r="G2850" s="19" t="n"/>
      <c r="H2850" s="21">
        <f>IF(A2850="","",YEAR(A2850)*100+MONTH(A2850))</f>
        <v/>
      </c>
    </row>
    <row r="2851">
      <c r="A2851" s="18" t="n"/>
      <c r="B2851" s="19" t="n"/>
      <c r="C2851" s="19" t="n"/>
      <c r="D2851" s="19" t="n"/>
      <c r="E2851" s="20" t="n"/>
      <c r="F2851" s="20" t="n"/>
      <c r="G2851" s="19" t="n"/>
      <c r="H2851" s="21">
        <f>IF(A2851="","",YEAR(A2851)*100+MONTH(A2851))</f>
        <v/>
      </c>
    </row>
    <row r="2852">
      <c r="A2852" s="18" t="n"/>
      <c r="B2852" s="19" t="n"/>
      <c r="C2852" s="19" t="n"/>
      <c r="D2852" s="19" t="n"/>
      <c r="E2852" s="20" t="n"/>
      <c r="F2852" s="20" t="n"/>
      <c r="G2852" s="19" t="n"/>
      <c r="H2852" s="21">
        <f>IF(A2852="","",YEAR(A2852)*100+MONTH(A2852))</f>
        <v/>
      </c>
    </row>
    <row r="2853">
      <c r="A2853" s="18" t="n"/>
      <c r="B2853" s="19" t="n"/>
      <c r="C2853" s="19" t="n"/>
      <c r="D2853" s="19" t="n"/>
      <c r="E2853" s="20" t="n"/>
      <c r="F2853" s="20" t="n"/>
      <c r="G2853" s="19" t="n"/>
      <c r="H2853" s="21">
        <f>IF(A2853="","",YEAR(A2853)*100+MONTH(A2853))</f>
        <v/>
      </c>
    </row>
    <row r="2854">
      <c r="A2854" s="18" t="n"/>
      <c r="B2854" s="19" t="n"/>
      <c r="C2854" s="19" t="n"/>
      <c r="D2854" s="19" t="n"/>
      <c r="E2854" s="20" t="n"/>
      <c r="F2854" s="20" t="n"/>
      <c r="G2854" s="19" t="n"/>
      <c r="H2854" s="21">
        <f>IF(A2854="","",YEAR(A2854)*100+MONTH(A2854))</f>
        <v/>
      </c>
    </row>
    <row r="2855">
      <c r="A2855" s="18" t="n"/>
      <c r="B2855" s="19" t="n"/>
      <c r="C2855" s="19" t="n"/>
      <c r="D2855" s="19" t="n"/>
      <c r="E2855" s="20" t="n"/>
      <c r="F2855" s="20" t="n"/>
      <c r="G2855" s="19" t="n"/>
      <c r="H2855" s="21">
        <f>IF(A2855="","",YEAR(A2855)*100+MONTH(A2855))</f>
        <v/>
      </c>
    </row>
    <row r="2856">
      <c r="A2856" s="18" t="n"/>
      <c r="B2856" s="19" t="n"/>
      <c r="C2856" s="19" t="n"/>
      <c r="D2856" s="19" t="n"/>
      <c r="E2856" s="20" t="n"/>
      <c r="F2856" s="20" t="n"/>
      <c r="G2856" s="19" t="n"/>
      <c r="H2856" s="21">
        <f>IF(A2856="","",YEAR(A2856)*100+MONTH(A2856))</f>
        <v/>
      </c>
    </row>
    <row r="2857">
      <c r="A2857" s="18" t="n"/>
      <c r="B2857" s="19" t="n"/>
      <c r="C2857" s="19" t="n"/>
      <c r="D2857" s="19" t="n"/>
      <c r="E2857" s="20" t="n"/>
      <c r="F2857" s="20" t="n"/>
      <c r="G2857" s="19" t="n"/>
      <c r="H2857" s="21">
        <f>IF(A2857="","",YEAR(A2857)*100+MONTH(A2857))</f>
        <v/>
      </c>
    </row>
    <row r="2858">
      <c r="A2858" s="18" t="n"/>
      <c r="B2858" s="19" t="n"/>
      <c r="C2858" s="19" t="n"/>
      <c r="D2858" s="19" t="n"/>
      <c r="E2858" s="20" t="n"/>
      <c r="F2858" s="20" t="n"/>
      <c r="G2858" s="19" t="n"/>
      <c r="H2858" s="21">
        <f>IF(A2858="","",YEAR(A2858)*100+MONTH(A2858))</f>
        <v/>
      </c>
    </row>
    <row r="2859">
      <c r="A2859" s="18" t="n"/>
      <c r="B2859" s="19" t="n"/>
      <c r="C2859" s="19" t="n"/>
      <c r="D2859" s="19" t="n"/>
      <c r="E2859" s="20" t="n"/>
      <c r="F2859" s="20" t="n"/>
      <c r="G2859" s="19" t="n"/>
      <c r="H2859" s="21">
        <f>IF(A2859="","",YEAR(A2859)*100+MONTH(A2859))</f>
        <v/>
      </c>
    </row>
    <row r="2860">
      <c r="A2860" s="18" t="n"/>
      <c r="B2860" s="19" t="n"/>
      <c r="C2860" s="19" t="n"/>
      <c r="D2860" s="19" t="n"/>
      <c r="E2860" s="20" t="n"/>
      <c r="F2860" s="20" t="n"/>
      <c r="G2860" s="19" t="n"/>
      <c r="H2860" s="21">
        <f>IF(A2860="","",YEAR(A2860)*100+MONTH(A2860))</f>
        <v/>
      </c>
    </row>
    <row r="2861">
      <c r="A2861" s="18" t="n"/>
      <c r="B2861" s="19" t="n"/>
      <c r="C2861" s="19" t="n"/>
      <c r="D2861" s="19" t="n"/>
      <c r="E2861" s="20" t="n"/>
      <c r="F2861" s="20" t="n"/>
      <c r="G2861" s="19" t="n"/>
      <c r="H2861" s="21">
        <f>IF(A2861="","",YEAR(A2861)*100+MONTH(A2861))</f>
        <v/>
      </c>
    </row>
    <row r="2862">
      <c r="A2862" s="18" t="n"/>
      <c r="B2862" s="19" t="n"/>
      <c r="C2862" s="19" t="n"/>
      <c r="D2862" s="19" t="n"/>
      <c r="E2862" s="20" t="n"/>
      <c r="F2862" s="20" t="n"/>
      <c r="G2862" s="19" t="n"/>
      <c r="H2862" s="21">
        <f>IF(A2862="","",YEAR(A2862)*100+MONTH(A2862))</f>
        <v/>
      </c>
    </row>
    <row r="2863">
      <c r="A2863" s="18" t="n"/>
      <c r="B2863" s="19" t="n"/>
      <c r="C2863" s="19" t="n"/>
      <c r="D2863" s="19" t="n"/>
      <c r="E2863" s="20" t="n"/>
      <c r="F2863" s="20" t="n"/>
      <c r="G2863" s="19" t="n"/>
      <c r="H2863" s="21">
        <f>IF(A2863="","",YEAR(A2863)*100+MONTH(A2863))</f>
        <v/>
      </c>
    </row>
    <row r="2864">
      <c r="A2864" s="18" t="n"/>
      <c r="B2864" s="19" t="n"/>
      <c r="C2864" s="19" t="n"/>
      <c r="D2864" s="19" t="n"/>
      <c r="E2864" s="20" t="n"/>
      <c r="F2864" s="20" t="n"/>
      <c r="G2864" s="19" t="n"/>
      <c r="H2864" s="21">
        <f>IF(A2864="","",YEAR(A2864)*100+MONTH(A2864))</f>
        <v/>
      </c>
    </row>
    <row r="2865">
      <c r="A2865" s="18" t="n"/>
      <c r="B2865" s="19" t="n"/>
      <c r="C2865" s="19" t="n"/>
      <c r="D2865" s="19" t="n"/>
      <c r="E2865" s="20" t="n"/>
      <c r="F2865" s="20" t="n"/>
      <c r="G2865" s="19" t="n"/>
      <c r="H2865" s="21">
        <f>IF(A2865="","",YEAR(A2865)*100+MONTH(A2865))</f>
        <v/>
      </c>
    </row>
    <row r="2866">
      <c r="A2866" s="18" t="n"/>
      <c r="B2866" s="19" t="n"/>
      <c r="C2866" s="19" t="n"/>
      <c r="D2866" s="19" t="n"/>
      <c r="E2866" s="20" t="n"/>
      <c r="F2866" s="20" t="n"/>
      <c r="G2866" s="19" t="n"/>
      <c r="H2866" s="21">
        <f>IF(A2866="","",YEAR(A2866)*100+MONTH(A2866))</f>
        <v/>
      </c>
    </row>
    <row r="2867">
      <c r="A2867" s="18" t="n"/>
      <c r="B2867" s="19" t="n"/>
      <c r="C2867" s="19" t="n"/>
      <c r="D2867" s="19" t="n"/>
      <c r="E2867" s="20" t="n"/>
      <c r="F2867" s="20" t="n"/>
      <c r="G2867" s="19" t="n"/>
      <c r="H2867" s="21">
        <f>IF(A2867="","",YEAR(A2867)*100+MONTH(A2867))</f>
        <v/>
      </c>
    </row>
    <row r="2868">
      <c r="A2868" s="18" t="n"/>
      <c r="B2868" s="19" t="n"/>
      <c r="C2868" s="19" t="n"/>
      <c r="D2868" s="19" t="n"/>
      <c r="E2868" s="20" t="n"/>
      <c r="F2868" s="20" t="n"/>
      <c r="G2868" s="19" t="n"/>
      <c r="H2868" s="21">
        <f>IF(A2868="","",YEAR(A2868)*100+MONTH(A2868))</f>
        <v/>
      </c>
    </row>
    <row r="2869">
      <c r="A2869" s="18" t="n"/>
      <c r="B2869" s="19" t="n"/>
      <c r="C2869" s="19" t="n"/>
      <c r="D2869" s="19" t="n"/>
      <c r="E2869" s="20" t="n"/>
      <c r="F2869" s="20" t="n"/>
      <c r="G2869" s="19" t="n"/>
      <c r="H2869" s="21">
        <f>IF(A2869="","",YEAR(A2869)*100+MONTH(A2869))</f>
        <v/>
      </c>
    </row>
    <row r="2870">
      <c r="A2870" s="18" t="n"/>
      <c r="B2870" s="19" t="n"/>
      <c r="C2870" s="19" t="n"/>
      <c r="D2870" s="19" t="n"/>
      <c r="E2870" s="20" t="n"/>
      <c r="F2870" s="20" t="n"/>
      <c r="G2870" s="19" t="n"/>
      <c r="H2870" s="21">
        <f>IF(A2870="","",YEAR(A2870)*100+MONTH(A2870))</f>
        <v/>
      </c>
    </row>
    <row r="2871">
      <c r="A2871" s="18" t="n"/>
      <c r="B2871" s="19" t="n"/>
      <c r="C2871" s="19" t="n"/>
      <c r="D2871" s="19" t="n"/>
      <c r="E2871" s="20" t="n"/>
      <c r="F2871" s="20" t="n"/>
      <c r="G2871" s="19" t="n"/>
      <c r="H2871" s="21">
        <f>IF(A2871="","",YEAR(A2871)*100+MONTH(A2871))</f>
        <v/>
      </c>
    </row>
    <row r="2872">
      <c r="A2872" s="18" t="n"/>
      <c r="B2872" s="19" t="n"/>
      <c r="C2872" s="19" t="n"/>
      <c r="D2872" s="19" t="n"/>
      <c r="E2872" s="20" t="n"/>
      <c r="F2872" s="20" t="n"/>
      <c r="G2872" s="19" t="n"/>
      <c r="H2872" s="21">
        <f>IF(A2872="","",YEAR(A2872)*100+MONTH(A2872))</f>
        <v/>
      </c>
    </row>
    <row r="2873">
      <c r="A2873" s="18" t="n"/>
      <c r="B2873" s="19" t="n"/>
      <c r="C2873" s="19" t="n"/>
      <c r="D2873" s="19" t="n"/>
      <c r="E2873" s="20" t="n"/>
      <c r="F2873" s="20" t="n"/>
      <c r="G2873" s="19" t="n"/>
      <c r="H2873" s="21">
        <f>IF(A2873="","",YEAR(A2873)*100+MONTH(A2873))</f>
        <v/>
      </c>
    </row>
    <row r="2874">
      <c r="A2874" s="18" t="n"/>
      <c r="B2874" s="19" t="n"/>
      <c r="C2874" s="19" t="n"/>
      <c r="D2874" s="19" t="n"/>
      <c r="E2874" s="20" t="n"/>
      <c r="F2874" s="20" t="n"/>
      <c r="G2874" s="19" t="n"/>
      <c r="H2874" s="21">
        <f>IF(A2874="","",YEAR(A2874)*100+MONTH(A2874))</f>
        <v/>
      </c>
    </row>
    <row r="2875">
      <c r="A2875" s="18" t="n"/>
      <c r="B2875" s="19" t="n"/>
      <c r="C2875" s="19" t="n"/>
      <c r="D2875" s="19" t="n"/>
      <c r="E2875" s="20" t="n"/>
      <c r="F2875" s="20" t="n"/>
      <c r="G2875" s="19" t="n"/>
      <c r="H2875" s="21">
        <f>IF(A2875="","",YEAR(A2875)*100+MONTH(A2875))</f>
        <v/>
      </c>
    </row>
    <row r="2876">
      <c r="A2876" s="18" t="n"/>
      <c r="B2876" s="19" t="n"/>
      <c r="C2876" s="19" t="n"/>
      <c r="D2876" s="19" t="n"/>
      <c r="E2876" s="20" t="n"/>
      <c r="F2876" s="20" t="n"/>
      <c r="G2876" s="19" t="n"/>
      <c r="H2876" s="21">
        <f>IF(A2876="","",YEAR(A2876)*100+MONTH(A2876))</f>
        <v/>
      </c>
    </row>
    <row r="2877">
      <c r="A2877" s="18" t="n"/>
      <c r="B2877" s="19" t="n"/>
      <c r="C2877" s="19" t="n"/>
      <c r="D2877" s="19" t="n"/>
      <c r="E2877" s="20" t="n"/>
      <c r="F2877" s="20" t="n"/>
      <c r="G2877" s="19" t="n"/>
      <c r="H2877" s="21">
        <f>IF(A2877="","",YEAR(A2877)*100+MONTH(A2877))</f>
        <v/>
      </c>
    </row>
    <row r="2878">
      <c r="A2878" s="18" t="n"/>
      <c r="B2878" s="19" t="n"/>
      <c r="C2878" s="19" t="n"/>
      <c r="D2878" s="19" t="n"/>
      <c r="E2878" s="20" t="n"/>
      <c r="F2878" s="20" t="n"/>
      <c r="G2878" s="19" t="n"/>
      <c r="H2878" s="21">
        <f>IF(A2878="","",YEAR(A2878)*100+MONTH(A2878))</f>
        <v/>
      </c>
    </row>
    <row r="2879">
      <c r="A2879" s="18" t="n"/>
      <c r="B2879" s="19" t="n"/>
      <c r="C2879" s="19" t="n"/>
      <c r="D2879" s="19" t="n"/>
      <c r="E2879" s="20" t="n"/>
      <c r="F2879" s="20" t="n"/>
      <c r="G2879" s="19" t="n"/>
      <c r="H2879" s="21">
        <f>IF(A2879="","",YEAR(A2879)*100+MONTH(A2879))</f>
        <v/>
      </c>
    </row>
    <row r="2880">
      <c r="A2880" s="18" t="n"/>
      <c r="B2880" s="19" t="n"/>
      <c r="C2880" s="19" t="n"/>
      <c r="D2880" s="19" t="n"/>
      <c r="E2880" s="20" t="n"/>
      <c r="F2880" s="20" t="n"/>
      <c r="G2880" s="19" t="n"/>
      <c r="H2880" s="21">
        <f>IF(A2880="","",YEAR(A2880)*100+MONTH(A2880))</f>
        <v/>
      </c>
    </row>
    <row r="2881">
      <c r="A2881" s="18" t="n"/>
      <c r="B2881" s="19" t="n"/>
      <c r="C2881" s="19" t="n"/>
      <c r="D2881" s="19" t="n"/>
      <c r="E2881" s="20" t="n"/>
      <c r="F2881" s="20" t="n"/>
      <c r="G2881" s="19" t="n"/>
      <c r="H2881" s="21">
        <f>IF(A2881="","",YEAR(A2881)*100+MONTH(A2881))</f>
        <v/>
      </c>
    </row>
    <row r="2882">
      <c r="A2882" s="18" t="n"/>
      <c r="B2882" s="19" t="n"/>
      <c r="C2882" s="19" t="n"/>
      <c r="D2882" s="19" t="n"/>
      <c r="E2882" s="20" t="n"/>
      <c r="F2882" s="20" t="n"/>
      <c r="G2882" s="19" t="n"/>
      <c r="H2882" s="21">
        <f>IF(A2882="","",YEAR(A2882)*100+MONTH(A2882))</f>
        <v/>
      </c>
    </row>
    <row r="2883">
      <c r="A2883" s="18" t="n"/>
      <c r="B2883" s="19" t="n"/>
      <c r="C2883" s="19" t="n"/>
      <c r="D2883" s="19" t="n"/>
      <c r="E2883" s="20" t="n"/>
      <c r="F2883" s="20" t="n"/>
      <c r="G2883" s="19" t="n"/>
      <c r="H2883" s="21">
        <f>IF(A2883="","",YEAR(A2883)*100+MONTH(A2883))</f>
        <v/>
      </c>
    </row>
    <row r="2884">
      <c r="A2884" s="18" t="n"/>
      <c r="B2884" s="19" t="n"/>
      <c r="C2884" s="19" t="n"/>
      <c r="D2884" s="19" t="n"/>
      <c r="E2884" s="20" t="n"/>
      <c r="F2884" s="20" t="n"/>
      <c r="G2884" s="19" t="n"/>
      <c r="H2884" s="21">
        <f>IF(A2884="","",YEAR(A2884)*100+MONTH(A2884))</f>
        <v/>
      </c>
    </row>
    <row r="2885">
      <c r="A2885" s="18" t="n"/>
      <c r="B2885" s="19" t="n"/>
      <c r="C2885" s="19" t="n"/>
      <c r="D2885" s="19" t="n"/>
      <c r="E2885" s="20" t="n"/>
      <c r="F2885" s="20" t="n"/>
      <c r="G2885" s="19" t="n"/>
      <c r="H2885" s="21">
        <f>IF(A2885="","",YEAR(A2885)*100+MONTH(A2885))</f>
        <v/>
      </c>
    </row>
    <row r="2886">
      <c r="A2886" s="18" t="n"/>
      <c r="B2886" s="19" t="n"/>
      <c r="C2886" s="19" t="n"/>
      <c r="D2886" s="19" t="n"/>
      <c r="E2886" s="20" t="n"/>
      <c r="F2886" s="20" t="n"/>
      <c r="G2886" s="19" t="n"/>
      <c r="H2886" s="21">
        <f>IF(A2886="","",YEAR(A2886)*100+MONTH(A2886))</f>
        <v/>
      </c>
    </row>
    <row r="2887">
      <c r="A2887" s="18" t="n"/>
      <c r="B2887" s="19" t="n"/>
      <c r="C2887" s="19" t="n"/>
      <c r="D2887" s="19" t="n"/>
      <c r="E2887" s="20" t="n"/>
      <c r="F2887" s="20" t="n"/>
      <c r="G2887" s="19" t="n"/>
      <c r="H2887" s="21">
        <f>IF(A2887="","",YEAR(A2887)*100+MONTH(A2887))</f>
        <v/>
      </c>
    </row>
    <row r="2888">
      <c r="A2888" s="18" t="n"/>
      <c r="B2888" s="19" t="n"/>
      <c r="C2888" s="19" t="n"/>
      <c r="D2888" s="19" t="n"/>
      <c r="E2888" s="20" t="n"/>
      <c r="F2888" s="20" t="n"/>
      <c r="G2888" s="19" t="n"/>
      <c r="H2888" s="21">
        <f>IF(A2888="","",YEAR(A2888)*100+MONTH(A2888))</f>
        <v/>
      </c>
    </row>
    <row r="2889">
      <c r="A2889" s="18" t="n"/>
      <c r="B2889" s="19" t="n"/>
      <c r="C2889" s="19" t="n"/>
      <c r="D2889" s="19" t="n"/>
      <c r="E2889" s="20" t="n"/>
      <c r="F2889" s="20" t="n"/>
      <c r="G2889" s="19" t="n"/>
      <c r="H2889" s="21">
        <f>IF(A2889="","",YEAR(A2889)*100+MONTH(A2889))</f>
        <v/>
      </c>
    </row>
    <row r="2890">
      <c r="A2890" s="18" t="n"/>
      <c r="B2890" s="19" t="n"/>
      <c r="C2890" s="19" t="n"/>
      <c r="D2890" s="19" t="n"/>
      <c r="E2890" s="20" t="n"/>
      <c r="F2890" s="20" t="n"/>
      <c r="G2890" s="19" t="n"/>
      <c r="H2890" s="21">
        <f>IF(A2890="","",YEAR(A2890)*100+MONTH(A2890))</f>
        <v/>
      </c>
    </row>
    <row r="2891">
      <c r="A2891" s="18" t="n"/>
      <c r="B2891" s="19" t="n"/>
      <c r="C2891" s="19" t="n"/>
      <c r="D2891" s="19" t="n"/>
      <c r="E2891" s="20" t="n"/>
      <c r="F2891" s="20" t="n"/>
      <c r="G2891" s="19" t="n"/>
      <c r="H2891" s="21">
        <f>IF(A2891="","",YEAR(A2891)*100+MONTH(A2891))</f>
        <v/>
      </c>
    </row>
    <row r="2892">
      <c r="A2892" s="18" t="n"/>
      <c r="B2892" s="19" t="n"/>
      <c r="C2892" s="19" t="n"/>
      <c r="D2892" s="19" t="n"/>
      <c r="E2892" s="20" t="n"/>
      <c r="F2892" s="20" t="n"/>
      <c r="G2892" s="19" t="n"/>
      <c r="H2892" s="21">
        <f>IF(A2892="","",YEAR(A2892)*100+MONTH(A2892))</f>
        <v/>
      </c>
    </row>
    <row r="2893">
      <c r="A2893" s="18" t="n"/>
      <c r="B2893" s="19" t="n"/>
      <c r="C2893" s="19" t="n"/>
      <c r="D2893" s="19" t="n"/>
      <c r="E2893" s="20" t="n"/>
      <c r="F2893" s="20" t="n"/>
      <c r="G2893" s="19" t="n"/>
      <c r="H2893" s="21">
        <f>IF(A2893="","",YEAR(A2893)*100+MONTH(A2893))</f>
        <v/>
      </c>
    </row>
    <row r="2894">
      <c r="A2894" s="18" t="n"/>
      <c r="B2894" s="19" t="n"/>
      <c r="C2894" s="19" t="n"/>
      <c r="D2894" s="19" t="n"/>
      <c r="E2894" s="20" t="n"/>
      <c r="F2894" s="20" t="n"/>
      <c r="G2894" s="19" t="n"/>
      <c r="H2894" s="21">
        <f>IF(A2894="","",YEAR(A2894)*100+MONTH(A2894))</f>
        <v/>
      </c>
    </row>
    <row r="2895">
      <c r="A2895" s="18" t="n"/>
      <c r="B2895" s="19" t="n"/>
      <c r="C2895" s="19" t="n"/>
      <c r="D2895" s="19" t="n"/>
      <c r="E2895" s="20" t="n"/>
      <c r="F2895" s="20" t="n"/>
      <c r="G2895" s="19" t="n"/>
      <c r="H2895" s="21">
        <f>IF(A2895="","",YEAR(A2895)*100+MONTH(A2895))</f>
        <v/>
      </c>
    </row>
    <row r="2896">
      <c r="A2896" s="18" t="n"/>
      <c r="B2896" s="19" t="n"/>
      <c r="C2896" s="19" t="n"/>
      <c r="D2896" s="19" t="n"/>
      <c r="E2896" s="20" t="n"/>
      <c r="F2896" s="20" t="n"/>
      <c r="G2896" s="19" t="n"/>
      <c r="H2896" s="21">
        <f>IF(A2896="","",YEAR(A2896)*100+MONTH(A2896))</f>
        <v/>
      </c>
    </row>
    <row r="2897">
      <c r="A2897" s="18" t="n"/>
      <c r="B2897" s="19" t="n"/>
      <c r="C2897" s="19" t="n"/>
      <c r="D2897" s="19" t="n"/>
      <c r="E2897" s="20" t="n"/>
      <c r="F2897" s="20" t="n"/>
      <c r="G2897" s="19" t="n"/>
      <c r="H2897" s="21">
        <f>IF(A2897="","",YEAR(A2897)*100+MONTH(A2897))</f>
        <v/>
      </c>
    </row>
    <row r="2898">
      <c r="A2898" s="18" t="n"/>
      <c r="B2898" s="19" t="n"/>
      <c r="C2898" s="19" t="n"/>
      <c r="D2898" s="19" t="n"/>
      <c r="E2898" s="20" t="n"/>
      <c r="F2898" s="20" t="n"/>
      <c r="G2898" s="19" t="n"/>
      <c r="H2898" s="21">
        <f>IF(A2898="","",YEAR(A2898)*100+MONTH(A2898))</f>
        <v/>
      </c>
    </row>
    <row r="2899">
      <c r="A2899" s="18" t="n"/>
      <c r="B2899" s="19" t="n"/>
      <c r="C2899" s="19" t="n"/>
      <c r="D2899" s="19" t="n"/>
      <c r="E2899" s="20" t="n"/>
      <c r="F2899" s="20" t="n"/>
      <c r="G2899" s="19" t="n"/>
      <c r="H2899" s="21">
        <f>IF(A2899="","",YEAR(A2899)*100+MONTH(A2899))</f>
        <v/>
      </c>
    </row>
    <row r="2900">
      <c r="A2900" s="18" t="n"/>
      <c r="B2900" s="19" t="n"/>
      <c r="C2900" s="19" t="n"/>
      <c r="D2900" s="19" t="n"/>
      <c r="E2900" s="20" t="n"/>
      <c r="F2900" s="20" t="n"/>
      <c r="G2900" s="19" t="n"/>
      <c r="H2900" s="21">
        <f>IF(A2900="","",YEAR(A2900)*100+MONTH(A2900))</f>
        <v/>
      </c>
    </row>
    <row r="2901">
      <c r="A2901" s="18" t="n"/>
      <c r="B2901" s="19" t="n"/>
      <c r="C2901" s="19" t="n"/>
      <c r="D2901" s="19" t="n"/>
      <c r="E2901" s="20" t="n"/>
      <c r="F2901" s="20" t="n"/>
      <c r="G2901" s="19" t="n"/>
      <c r="H2901" s="21">
        <f>IF(A2901="","",YEAR(A2901)*100+MONTH(A2901))</f>
        <v/>
      </c>
    </row>
    <row r="2902">
      <c r="A2902" s="18" t="n"/>
      <c r="B2902" s="19" t="n"/>
      <c r="C2902" s="19" t="n"/>
      <c r="D2902" s="19" t="n"/>
      <c r="E2902" s="20" t="n"/>
      <c r="F2902" s="20" t="n"/>
      <c r="G2902" s="19" t="n"/>
      <c r="H2902" s="21">
        <f>IF(A2902="","",YEAR(A2902)*100+MONTH(A2902))</f>
        <v/>
      </c>
    </row>
    <row r="2903">
      <c r="A2903" s="18" t="n"/>
      <c r="B2903" s="19" t="n"/>
      <c r="C2903" s="19" t="n"/>
      <c r="D2903" s="19" t="n"/>
      <c r="E2903" s="20" t="n"/>
      <c r="F2903" s="20" t="n"/>
      <c r="G2903" s="19" t="n"/>
      <c r="H2903" s="21">
        <f>IF(A2903="","",YEAR(A2903)*100+MONTH(A2903))</f>
        <v/>
      </c>
    </row>
    <row r="2904">
      <c r="A2904" s="18" t="n"/>
      <c r="B2904" s="19" t="n"/>
      <c r="C2904" s="19" t="n"/>
      <c r="D2904" s="19" t="n"/>
      <c r="E2904" s="20" t="n"/>
      <c r="F2904" s="20" t="n"/>
      <c r="G2904" s="19" t="n"/>
      <c r="H2904" s="21">
        <f>IF(A2904="","",YEAR(A2904)*100+MONTH(A2904))</f>
        <v/>
      </c>
    </row>
    <row r="2905">
      <c r="A2905" s="18" t="n"/>
      <c r="B2905" s="19" t="n"/>
      <c r="C2905" s="19" t="n"/>
      <c r="D2905" s="19" t="n"/>
      <c r="E2905" s="20" t="n"/>
      <c r="F2905" s="20" t="n"/>
      <c r="G2905" s="19" t="n"/>
      <c r="H2905" s="21">
        <f>IF(A2905="","",YEAR(A2905)*100+MONTH(A2905))</f>
        <v/>
      </c>
    </row>
    <row r="2906">
      <c r="A2906" s="18" t="n"/>
      <c r="B2906" s="19" t="n"/>
      <c r="C2906" s="19" t="n"/>
      <c r="D2906" s="19" t="n"/>
      <c r="E2906" s="20" t="n"/>
      <c r="F2906" s="20" t="n"/>
      <c r="G2906" s="19" t="n"/>
      <c r="H2906" s="21">
        <f>IF(A2906="","",YEAR(A2906)*100+MONTH(A2906))</f>
        <v/>
      </c>
    </row>
    <row r="2907">
      <c r="A2907" s="18" t="n"/>
      <c r="B2907" s="19" t="n"/>
      <c r="C2907" s="19" t="n"/>
      <c r="D2907" s="19" t="n"/>
      <c r="E2907" s="20" t="n"/>
      <c r="F2907" s="20" t="n"/>
      <c r="G2907" s="19" t="n"/>
      <c r="H2907" s="21">
        <f>IF(A2907="","",YEAR(A2907)*100+MONTH(A2907))</f>
        <v/>
      </c>
    </row>
    <row r="2908">
      <c r="A2908" s="18" t="n"/>
      <c r="B2908" s="19" t="n"/>
      <c r="C2908" s="19" t="n"/>
      <c r="D2908" s="19" t="n"/>
      <c r="E2908" s="20" t="n"/>
      <c r="F2908" s="20" t="n"/>
      <c r="G2908" s="19" t="n"/>
      <c r="H2908" s="21">
        <f>IF(A2908="","",YEAR(A2908)*100+MONTH(A2908))</f>
        <v/>
      </c>
    </row>
    <row r="2909">
      <c r="A2909" s="18" t="n"/>
      <c r="B2909" s="19" t="n"/>
      <c r="C2909" s="19" t="n"/>
      <c r="D2909" s="19" t="n"/>
      <c r="E2909" s="20" t="n"/>
      <c r="F2909" s="20" t="n"/>
      <c r="G2909" s="19" t="n"/>
      <c r="H2909" s="21">
        <f>IF(A2909="","",YEAR(A2909)*100+MONTH(A2909))</f>
        <v/>
      </c>
    </row>
    <row r="2910">
      <c r="A2910" s="18" t="n"/>
      <c r="B2910" s="19" t="n"/>
      <c r="C2910" s="19" t="n"/>
      <c r="D2910" s="19" t="n"/>
      <c r="E2910" s="20" t="n"/>
      <c r="F2910" s="20" t="n"/>
      <c r="G2910" s="19" t="n"/>
      <c r="H2910" s="21">
        <f>IF(A2910="","",YEAR(A2910)*100+MONTH(A2910))</f>
        <v/>
      </c>
    </row>
    <row r="2911">
      <c r="A2911" s="18" t="n"/>
      <c r="B2911" s="19" t="n"/>
      <c r="C2911" s="19" t="n"/>
      <c r="D2911" s="19" t="n"/>
      <c r="E2911" s="20" t="n"/>
      <c r="F2911" s="20" t="n"/>
      <c r="G2911" s="19" t="n"/>
      <c r="H2911" s="21">
        <f>IF(A2911="","",YEAR(A2911)*100+MONTH(A2911))</f>
        <v/>
      </c>
    </row>
    <row r="2912">
      <c r="A2912" s="18" t="n"/>
      <c r="B2912" s="19" t="n"/>
      <c r="C2912" s="19" t="n"/>
      <c r="D2912" s="19" t="n"/>
      <c r="E2912" s="20" t="n"/>
      <c r="F2912" s="20" t="n"/>
      <c r="G2912" s="19" t="n"/>
      <c r="H2912" s="21">
        <f>IF(A2912="","",YEAR(A2912)*100+MONTH(A2912))</f>
        <v/>
      </c>
    </row>
    <row r="2913">
      <c r="A2913" s="18" t="n"/>
      <c r="B2913" s="19" t="n"/>
      <c r="C2913" s="19" t="n"/>
      <c r="D2913" s="19" t="n"/>
      <c r="E2913" s="20" t="n"/>
      <c r="F2913" s="20" t="n"/>
      <c r="G2913" s="19" t="n"/>
      <c r="H2913" s="21">
        <f>IF(A2913="","",YEAR(A2913)*100+MONTH(A2913))</f>
        <v/>
      </c>
    </row>
    <row r="2914">
      <c r="A2914" s="18" t="n"/>
      <c r="B2914" s="19" t="n"/>
      <c r="C2914" s="19" t="n"/>
      <c r="D2914" s="19" t="n"/>
      <c r="E2914" s="20" t="n"/>
      <c r="F2914" s="20" t="n"/>
      <c r="G2914" s="19" t="n"/>
      <c r="H2914" s="21">
        <f>IF(A2914="","",YEAR(A2914)*100+MONTH(A2914))</f>
        <v/>
      </c>
    </row>
    <row r="2915">
      <c r="A2915" s="18" t="n"/>
      <c r="B2915" s="19" t="n"/>
      <c r="C2915" s="19" t="n"/>
      <c r="D2915" s="19" t="n"/>
      <c r="E2915" s="20" t="n"/>
      <c r="F2915" s="20" t="n"/>
      <c r="G2915" s="19" t="n"/>
      <c r="H2915" s="21">
        <f>IF(A2915="","",YEAR(A2915)*100+MONTH(A2915))</f>
        <v/>
      </c>
    </row>
    <row r="2916">
      <c r="A2916" s="18" t="n"/>
      <c r="B2916" s="19" t="n"/>
      <c r="C2916" s="19" t="n"/>
      <c r="D2916" s="19" t="n"/>
      <c r="E2916" s="20" t="n"/>
      <c r="F2916" s="20" t="n"/>
      <c r="G2916" s="19" t="n"/>
      <c r="H2916" s="21">
        <f>IF(A2916="","",YEAR(A2916)*100+MONTH(A2916))</f>
        <v/>
      </c>
    </row>
    <row r="2917">
      <c r="A2917" s="18" t="n"/>
      <c r="B2917" s="19" t="n"/>
      <c r="C2917" s="19" t="n"/>
      <c r="D2917" s="19" t="n"/>
      <c r="E2917" s="20" t="n"/>
      <c r="F2917" s="20" t="n"/>
      <c r="G2917" s="19" t="n"/>
      <c r="H2917" s="21">
        <f>IF(A2917="","",YEAR(A2917)*100+MONTH(A2917))</f>
        <v/>
      </c>
    </row>
    <row r="2918">
      <c r="A2918" s="18" t="n"/>
      <c r="B2918" s="19" t="n"/>
      <c r="C2918" s="19" t="n"/>
      <c r="D2918" s="19" t="n"/>
      <c r="E2918" s="20" t="n"/>
      <c r="F2918" s="20" t="n"/>
      <c r="G2918" s="19" t="n"/>
      <c r="H2918" s="21">
        <f>IF(A2918="","",YEAR(A2918)*100+MONTH(A2918))</f>
        <v/>
      </c>
    </row>
    <row r="2919">
      <c r="A2919" s="18" t="n"/>
      <c r="B2919" s="19" t="n"/>
      <c r="C2919" s="19" t="n"/>
      <c r="D2919" s="19" t="n"/>
      <c r="E2919" s="20" t="n"/>
      <c r="F2919" s="20" t="n"/>
      <c r="G2919" s="19" t="n"/>
      <c r="H2919" s="21">
        <f>IF(A2919="","",YEAR(A2919)*100+MONTH(A2919))</f>
        <v/>
      </c>
    </row>
    <row r="2920">
      <c r="A2920" s="18" t="n"/>
      <c r="B2920" s="19" t="n"/>
      <c r="C2920" s="19" t="n"/>
      <c r="D2920" s="19" t="n"/>
      <c r="E2920" s="20" t="n"/>
      <c r="F2920" s="20" t="n"/>
      <c r="G2920" s="19" t="n"/>
      <c r="H2920" s="21">
        <f>IF(A2920="","",YEAR(A2920)*100+MONTH(A2920))</f>
        <v/>
      </c>
    </row>
    <row r="2921">
      <c r="A2921" s="18" t="n"/>
      <c r="B2921" s="19" t="n"/>
      <c r="C2921" s="19" t="n"/>
      <c r="D2921" s="19" t="n"/>
      <c r="E2921" s="20" t="n"/>
      <c r="F2921" s="20" t="n"/>
      <c r="G2921" s="19" t="n"/>
      <c r="H2921" s="21">
        <f>IF(A2921="","",YEAR(A2921)*100+MONTH(A2921))</f>
        <v/>
      </c>
    </row>
    <row r="2922">
      <c r="A2922" s="18" t="n"/>
      <c r="B2922" s="19" t="n"/>
      <c r="C2922" s="19" t="n"/>
      <c r="D2922" s="19" t="n"/>
      <c r="E2922" s="20" t="n"/>
      <c r="F2922" s="20" t="n"/>
      <c r="G2922" s="19" t="n"/>
      <c r="H2922" s="21">
        <f>IF(A2922="","",YEAR(A2922)*100+MONTH(A2922))</f>
        <v/>
      </c>
    </row>
    <row r="2923">
      <c r="A2923" s="18" t="n"/>
      <c r="B2923" s="19" t="n"/>
      <c r="C2923" s="19" t="n"/>
      <c r="D2923" s="19" t="n"/>
      <c r="E2923" s="20" t="n"/>
      <c r="F2923" s="20" t="n"/>
      <c r="G2923" s="19" t="n"/>
      <c r="H2923" s="21">
        <f>IF(A2923="","",YEAR(A2923)*100+MONTH(A2923))</f>
        <v/>
      </c>
    </row>
    <row r="2924">
      <c r="A2924" s="18" t="n"/>
      <c r="B2924" s="19" t="n"/>
      <c r="C2924" s="19" t="n"/>
      <c r="D2924" s="19" t="n"/>
      <c r="E2924" s="20" t="n"/>
      <c r="F2924" s="20" t="n"/>
      <c r="G2924" s="19" t="n"/>
      <c r="H2924" s="21">
        <f>IF(A2924="","",YEAR(A2924)*100+MONTH(A2924))</f>
        <v/>
      </c>
    </row>
    <row r="2925">
      <c r="A2925" s="18" t="n"/>
      <c r="B2925" s="19" t="n"/>
      <c r="C2925" s="19" t="n"/>
      <c r="D2925" s="19" t="n"/>
      <c r="E2925" s="20" t="n"/>
      <c r="F2925" s="20" t="n"/>
      <c r="G2925" s="19" t="n"/>
      <c r="H2925" s="21">
        <f>IF(A2925="","",YEAR(A2925)*100+MONTH(A2925))</f>
        <v/>
      </c>
    </row>
    <row r="2926">
      <c r="A2926" s="18" t="n"/>
      <c r="B2926" s="19" t="n"/>
      <c r="C2926" s="19" t="n"/>
      <c r="D2926" s="19" t="n"/>
      <c r="E2926" s="20" t="n"/>
      <c r="F2926" s="20" t="n"/>
      <c r="G2926" s="19" t="n"/>
      <c r="H2926" s="21">
        <f>IF(A2926="","",YEAR(A2926)*100+MONTH(A2926))</f>
        <v/>
      </c>
    </row>
    <row r="2927">
      <c r="A2927" s="18" t="n"/>
      <c r="B2927" s="19" t="n"/>
      <c r="C2927" s="19" t="n"/>
      <c r="D2927" s="19" t="n"/>
      <c r="E2927" s="20" t="n"/>
      <c r="F2927" s="20" t="n"/>
      <c r="G2927" s="19" t="n"/>
      <c r="H2927" s="21">
        <f>IF(A2927="","",YEAR(A2927)*100+MONTH(A2927))</f>
        <v/>
      </c>
    </row>
    <row r="2928">
      <c r="A2928" s="18" t="n"/>
      <c r="B2928" s="19" t="n"/>
      <c r="C2928" s="19" t="n"/>
      <c r="D2928" s="19" t="n"/>
      <c r="E2928" s="20" t="n"/>
      <c r="F2928" s="20" t="n"/>
      <c r="G2928" s="19" t="n"/>
      <c r="H2928" s="21">
        <f>IF(A2928="","",YEAR(A2928)*100+MONTH(A2928))</f>
        <v/>
      </c>
    </row>
    <row r="2929">
      <c r="A2929" s="18" t="n"/>
      <c r="B2929" s="19" t="n"/>
      <c r="C2929" s="19" t="n"/>
      <c r="D2929" s="19" t="n"/>
      <c r="E2929" s="20" t="n"/>
      <c r="F2929" s="20" t="n"/>
      <c r="G2929" s="19" t="n"/>
      <c r="H2929" s="21">
        <f>IF(A2929="","",YEAR(A2929)*100+MONTH(A2929))</f>
        <v/>
      </c>
    </row>
    <row r="2930">
      <c r="A2930" s="18" t="n"/>
      <c r="B2930" s="19" t="n"/>
      <c r="C2930" s="19" t="n"/>
      <c r="D2930" s="19" t="n"/>
      <c r="E2930" s="20" t="n"/>
      <c r="F2930" s="20" t="n"/>
      <c r="G2930" s="19" t="n"/>
      <c r="H2930" s="21">
        <f>IF(A2930="","",YEAR(A2930)*100+MONTH(A2930))</f>
        <v/>
      </c>
    </row>
    <row r="2931">
      <c r="A2931" s="18" t="n"/>
      <c r="B2931" s="19" t="n"/>
      <c r="C2931" s="19" t="n"/>
      <c r="D2931" s="19" t="n"/>
      <c r="E2931" s="20" t="n"/>
      <c r="F2931" s="20" t="n"/>
      <c r="G2931" s="19" t="n"/>
      <c r="H2931" s="21">
        <f>IF(A2931="","",YEAR(A2931)*100+MONTH(A2931))</f>
        <v/>
      </c>
    </row>
    <row r="2932">
      <c r="A2932" s="18" t="n"/>
      <c r="B2932" s="19" t="n"/>
      <c r="C2932" s="19" t="n"/>
      <c r="D2932" s="19" t="n"/>
      <c r="E2932" s="20" t="n"/>
      <c r="F2932" s="20" t="n"/>
      <c r="G2932" s="19" t="n"/>
      <c r="H2932" s="21">
        <f>IF(A2932="","",YEAR(A2932)*100+MONTH(A2932))</f>
        <v/>
      </c>
    </row>
    <row r="2933">
      <c r="A2933" s="18" t="n"/>
      <c r="B2933" s="19" t="n"/>
      <c r="C2933" s="19" t="n"/>
      <c r="D2933" s="19" t="n"/>
      <c r="E2933" s="20" t="n"/>
      <c r="F2933" s="20" t="n"/>
      <c r="G2933" s="19" t="n"/>
      <c r="H2933" s="21">
        <f>IF(A2933="","",YEAR(A2933)*100+MONTH(A2933))</f>
        <v/>
      </c>
    </row>
    <row r="2934">
      <c r="A2934" s="18" t="n"/>
      <c r="B2934" s="19" t="n"/>
      <c r="C2934" s="19" t="n"/>
      <c r="D2934" s="19" t="n"/>
      <c r="E2934" s="20" t="n"/>
      <c r="F2934" s="20" t="n"/>
      <c r="G2934" s="19" t="n"/>
      <c r="H2934" s="21">
        <f>IF(A2934="","",YEAR(A2934)*100+MONTH(A2934))</f>
        <v/>
      </c>
    </row>
    <row r="2935">
      <c r="A2935" s="18" t="n"/>
      <c r="B2935" s="19" t="n"/>
      <c r="C2935" s="19" t="n"/>
      <c r="D2935" s="19" t="n"/>
      <c r="E2935" s="20" t="n"/>
      <c r="F2935" s="20" t="n"/>
      <c r="G2935" s="19" t="n"/>
      <c r="H2935" s="21">
        <f>IF(A2935="","",YEAR(A2935)*100+MONTH(A2935))</f>
        <v/>
      </c>
    </row>
    <row r="2936">
      <c r="A2936" s="18" t="n"/>
      <c r="B2936" s="19" t="n"/>
      <c r="C2936" s="19" t="n"/>
      <c r="D2936" s="19" t="n"/>
      <c r="E2936" s="20" t="n"/>
      <c r="F2936" s="20" t="n"/>
      <c r="G2936" s="19" t="n"/>
      <c r="H2936" s="21">
        <f>IF(A2936="","",YEAR(A2936)*100+MONTH(A2936))</f>
        <v/>
      </c>
    </row>
    <row r="2937">
      <c r="A2937" s="18" t="n"/>
      <c r="B2937" s="19" t="n"/>
      <c r="C2937" s="19" t="n"/>
      <c r="D2937" s="19" t="n"/>
      <c r="E2937" s="20" t="n"/>
      <c r="F2937" s="20" t="n"/>
      <c r="G2937" s="19" t="n"/>
      <c r="H2937" s="21">
        <f>IF(A2937="","",YEAR(A2937)*100+MONTH(A2937))</f>
        <v/>
      </c>
    </row>
    <row r="2938">
      <c r="A2938" s="18" t="n"/>
      <c r="B2938" s="19" t="n"/>
      <c r="C2938" s="19" t="n"/>
      <c r="D2938" s="19" t="n"/>
      <c r="E2938" s="20" t="n"/>
      <c r="F2938" s="20" t="n"/>
      <c r="G2938" s="19" t="n"/>
      <c r="H2938" s="21">
        <f>IF(A2938="","",YEAR(A2938)*100+MONTH(A2938))</f>
        <v/>
      </c>
    </row>
    <row r="2939">
      <c r="A2939" s="18" t="n"/>
      <c r="B2939" s="19" t="n"/>
      <c r="C2939" s="19" t="n"/>
      <c r="D2939" s="19" t="n"/>
      <c r="E2939" s="20" t="n"/>
      <c r="F2939" s="20" t="n"/>
      <c r="G2939" s="19" t="n"/>
      <c r="H2939" s="21">
        <f>IF(A2939="","",YEAR(A2939)*100+MONTH(A2939))</f>
        <v/>
      </c>
    </row>
    <row r="2940">
      <c r="A2940" s="18" t="n"/>
      <c r="B2940" s="19" t="n"/>
      <c r="C2940" s="19" t="n"/>
      <c r="D2940" s="19" t="n"/>
      <c r="E2940" s="20" t="n"/>
      <c r="F2940" s="20" t="n"/>
      <c r="G2940" s="19" t="n"/>
      <c r="H2940" s="21">
        <f>IF(A2940="","",YEAR(A2940)*100+MONTH(A2940))</f>
        <v/>
      </c>
    </row>
    <row r="2941">
      <c r="A2941" s="18" t="n"/>
      <c r="B2941" s="19" t="n"/>
      <c r="C2941" s="19" t="n"/>
      <c r="D2941" s="19" t="n"/>
      <c r="E2941" s="20" t="n"/>
      <c r="F2941" s="20" t="n"/>
      <c r="G2941" s="19" t="n"/>
      <c r="H2941" s="21">
        <f>IF(A2941="","",YEAR(A2941)*100+MONTH(A2941))</f>
        <v/>
      </c>
    </row>
    <row r="2942">
      <c r="A2942" s="18" t="n"/>
      <c r="B2942" s="19" t="n"/>
      <c r="C2942" s="19" t="n"/>
      <c r="D2942" s="19" t="n"/>
      <c r="E2942" s="20" t="n"/>
      <c r="F2942" s="20" t="n"/>
      <c r="G2942" s="19" t="n"/>
      <c r="H2942" s="21">
        <f>IF(A2942="","",YEAR(A2942)*100+MONTH(A2942))</f>
        <v/>
      </c>
    </row>
    <row r="2943">
      <c r="A2943" s="18" t="n"/>
      <c r="B2943" s="19" t="n"/>
      <c r="C2943" s="19" t="n"/>
      <c r="D2943" s="19" t="n"/>
      <c r="E2943" s="20" t="n"/>
      <c r="F2943" s="20" t="n"/>
      <c r="G2943" s="19" t="n"/>
      <c r="H2943" s="21">
        <f>IF(A2943="","",YEAR(A2943)*100+MONTH(A2943))</f>
        <v/>
      </c>
    </row>
    <row r="2944">
      <c r="A2944" s="18" t="n"/>
      <c r="B2944" s="19" t="n"/>
      <c r="C2944" s="19" t="n"/>
      <c r="D2944" s="19" t="n"/>
      <c r="E2944" s="20" t="n"/>
      <c r="F2944" s="20" t="n"/>
      <c r="G2944" s="19" t="n"/>
      <c r="H2944" s="21">
        <f>IF(A2944="","",YEAR(A2944)*100+MONTH(A2944))</f>
        <v/>
      </c>
    </row>
    <row r="2945">
      <c r="A2945" s="18" t="n"/>
      <c r="B2945" s="19" t="n"/>
      <c r="C2945" s="19" t="n"/>
      <c r="D2945" s="19" t="n"/>
      <c r="E2945" s="20" t="n"/>
      <c r="F2945" s="20" t="n"/>
      <c r="G2945" s="19" t="n"/>
      <c r="H2945" s="21">
        <f>IF(A2945="","",YEAR(A2945)*100+MONTH(A2945))</f>
        <v/>
      </c>
    </row>
    <row r="2946">
      <c r="A2946" s="18" t="n"/>
      <c r="B2946" s="19" t="n"/>
      <c r="C2946" s="19" t="n"/>
      <c r="D2946" s="19" t="n"/>
      <c r="E2946" s="20" t="n"/>
      <c r="F2946" s="20" t="n"/>
      <c r="G2946" s="19" t="n"/>
      <c r="H2946" s="21">
        <f>IF(A2946="","",YEAR(A2946)*100+MONTH(A2946))</f>
        <v/>
      </c>
    </row>
    <row r="2947">
      <c r="A2947" s="18" t="n"/>
      <c r="B2947" s="19" t="n"/>
      <c r="C2947" s="19" t="n"/>
      <c r="D2947" s="19" t="n"/>
      <c r="E2947" s="20" t="n"/>
      <c r="F2947" s="20" t="n"/>
      <c r="G2947" s="19" t="n"/>
      <c r="H2947" s="21">
        <f>IF(A2947="","",YEAR(A2947)*100+MONTH(A2947))</f>
        <v/>
      </c>
    </row>
    <row r="2948">
      <c r="A2948" s="18" t="n"/>
      <c r="B2948" s="19" t="n"/>
      <c r="C2948" s="19" t="n"/>
      <c r="D2948" s="19" t="n"/>
      <c r="E2948" s="20" t="n"/>
      <c r="F2948" s="20" t="n"/>
      <c r="G2948" s="19" t="n"/>
      <c r="H2948" s="21">
        <f>IF(A2948="","",YEAR(A2948)*100+MONTH(A2948))</f>
        <v/>
      </c>
    </row>
    <row r="2949">
      <c r="A2949" s="18" t="n"/>
      <c r="B2949" s="19" t="n"/>
      <c r="C2949" s="19" t="n"/>
      <c r="D2949" s="19" t="n"/>
      <c r="E2949" s="20" t="n"/>
      <c r="F2949" s="20" t="n"/>
      <c r="G2949" s="19" t="n"/>
      <c r="H2949" s="21">
        <f>IF(A2949="","",YEAR(A2949)*100+MONTH(A2949))</f>
        <v/>
      </c>
    </row>
    <row r="2950">
      <c r="A2950" s="18" t="n"/>
      <c r="B2950" s="19" t="n"/>
      <c r="C2950" s="19" t="n"/>
      <c r="D2950" s="19" t="n"/>
      <c r="E2950" s="20" t="n"/>
      <c r="F2950" s="20" t="n"/>
      <c r="G2950" s="19" t="n"/>
      <c r="H2950" s="21">
        <f>IF(A2950="","",YEAR(A2950)*100+MONTH(A2950))</f>
        <v/>
      </c>
    </row>
    <row r="2951">
      <c r="A2951" s="18" t="n"/>
      <c r="B2951" s="19" t="n"/>
      <c r="C2951" s="19" t="n"/>
      <c r="D2951" s="19" t="n"/>
      <c r="E2951" s="20" t="n"/>
      <c r="F2951" s="20" t="n"/>
      <c r="G2951" s="19" t="n"/>
      <c r="H2951" s="21">
        <f>IF(A2951="","",YEAR(A2951)*100+MONTH(A2951))</f>
        <v/>
      </c>
    </row>
    <row r="2952">
      <c r="A2952" s="18" t="n"/>
      <c r="B2952" s="19" t="n"/>
      <c r="C2952" s="19" t="n"/>
      <c r="D2952" s="19" t="n"/>
      <c r="E2952" s="20" t="n"/>
      <c r="F2952" s="20" t="n"/>
      <c r="G2952" s="19" t="n"/>
      <c r="H2952" s="21">
        <f>IF(A2952="","",YEAR(A2952)*100+MONTH(A2952))</f>
        <v/>
      </c>
    </row>
    <row r="2953">
      <c r="A2953" s="18" t="n"/>
      <c r="B2953" s="19" t="n"/>
      <c r="C2953" s="19" t="n"/>
      <c r="D2953" s="19" t="n"/>
      <c r="E2953" s="20" t="n"/>
      <c r="F2953" s="20" t="n"/>
      <c r="G2953" s="19" t="n"/>
      <c r="H2953" s="21">
        <f>IF(A2953="","",YEAR(A2953)*100+MONTH(A2953))</f>
        <v/>
      </c>
    </row>
    <row r="2954">
      <c r="A2954" s="18" t="n"/>
      <c r="B2954" s="19" t="n"/>
      <c r="C2954" s="19" t="n"/>
      <c r="D2954" s="19" t="n"/>
      <c r="E2954" s="20" t="n"/>
      <c r="F2954" s="20" t="n"/>
      <c r="G2954" s="19" t="n"/>
      <c r="H2954" s="21">
        <f>IF(A2954="","",YEAR(A2954)*100+MONTH(A2954))</f>
        <v/>
      </c>
    </row>
    <row r="2955">
      <c r="A2955" s="18" t="n"/>
      <c r="B2955" s="19" t="n"/>
      <c r="C2955" s="19" t="n"/>
      <c r="D2955" s="19" t="n"/>
      <c r="E2955" s="20" t="n"/>
      <c r="F2955" s="20" t="n"/>
      <c r="G2955" s="19" t="n"/>
      <c r="H2955" s="21">
        <f>IF(A2955="","",YEAR(A2955)*100+MONTH(A2955))</f>
        <v/>
      </c>
    </row>
    <row r="2956">
      <c r="A2956" s="18" t="n"/>
      <c r="B2956" s="19" t="n"/>
      <c r="C2956" s="19" t="n"/>
      <c r="D2956" s="19" t="n"/>
      <c r="E2956" s="20" t="n"/>
      <c r="F2956" s="20" t="n"/>
      <c r="G2956" s="19" t="n"/>
      <c r="H2956" s="21">
        <f>IF(A2956="","",YEAR(A2956)*100+MONTH(A2956))</f>
        <v/>
      </c>
    </row>
    <row r="2957">
      <c r="A2957" s="18" t="n"/>
      <c r="B2957" s="19" t="n"/>
      <c r="C2957" s="19" t="n"/>
      <c r="D2957" s="19" t="n"/>
      <c r="E2957" s="20" t="n"/>
      <c r="F2957" s="20" t="n"/>
      <c r="G2957" s="19" t="n"/>
      <c r="H2957" s="21">
        <f>IF(A2957="","",YEAR(A2957)*100+MONTH(A2957))</f>
        <v/>
      </c>
    </row>
    <row r="2958">
      <c r="A2958" s="18" t="n"/>
      <c r="B2958" s="19" t="n"/>
      <c r="C2958" s="19" t="n"/>
      <c r="D2958" s="19" t="n"/>
      <c r="E2958" s="20" t="n"/>
      <c r="F2958" s="20" t="n"/>
      <c r="G2958" s="19" t="n"/>
      <c r="H2958" s="21">
        <f>IF(A2958="","",YEAR(A2958)*100+MONTH(A2958))</f>
        <v/>
      </c>
    </row>
    <row r="2959">
      <c r="A2959" s="18" t="n"/>
      <c r="B2959" s="19" t="n"/>
      <c r="C2959" s="19" t="n"/>
      <c r="D2959" s="19" t="n"/>
      <c r="E2959" s="20" t="n"/>
      <c r="F2959" s="20" t="n"/>
      <c r="G2959" s="19" t="n"/>
      <c r="H2959" s="21">
        <f>IF(A2959="","",YEAR(A2959)*100+MONTH(A2959))</f>
        <v/>
      </c>
    </row>
    <row r="2960">
      <c r="A2960" s="18" t="n"/>
      <c r="B2960" s="19" t="n"/>
      <c r="C2960" s="19" t="n"/>
      <c r="D2960" s="19" t="n"/>
      <c r="E2960" s="20" t="n"/>
      <c r="F2960" s="20" t="n"/>
      <c r="G2960" s="19" t="n"/>
      <c r="H2960" s="21">
        <f>IF(A2960="","",YEAR(A2960)*100+MONTH(A2960))</f>
        <v/>
      </c>
    </row>
    <row r="2961">
      <c r="A2961" s="18" t="n"/>
      <c r="B2961" s="19" t="n"/>
      <c r="C2961" s="19" t="n"/>
      <c r="D2961" s="19" t="n"/>
      <c r="E2961" s="20" t="n"/>
      <c r="F2961" s="20" t="n"/>
      <c r="G2961" s="19" t="n"/>
      <c r="H2961" s="21">
        <f>IF(A2961="","",YEAR(A2961)*100+MONTH(A2961))</f>
        <v/>
      </c>
    </row>
    <row r="2962">
      <c r="A2962" s="18" t="n"/>
      <c r="B2962" s="19" t="n"/>
      <c r="C2962" s="19" t="n"/>
      <c r="D2962" s="19" t="n"/>
      <c r="E2962" s="20" t="n"/>
      <c r="F2962" s="20" t="n"/>
      <c r="G2962" s="19" t="n"/>
      <c r="H2962" s="21">
        <f>IF(A2962="","",YEAR(A2962)*100+MONTH(A2962))</f>
        <v/>
      </c>
    </row>
    <row r="2963">
      <c r="A2963" s="18" t="n"/>
      <c r="B2963" s="19" t="n"/>
      <c r="C2963" s="19" t="n"/>
      <c r="D2963" s="19" t="n"/>
      <c r="E2963" s="20" t="n"/>
      <c r="F2963" s="20" t="n"/>
      <c r="G2963" s="19" t="n"/>
      <c r="H2963" s="21">
        <f>IF(A2963="","",YEAR(A2963)*100+MONTH(A2963))</f>
        <v/>
      </c>
    </row>
    <row r="2964">
      <c r="A2964" s="18" t="n"/>
      <c r="B2964" s="19" t="n"/>
      <c r="C2964" s="19" t="n"/>
      <c r="D2964" s="19" t="n"/>
      <c r="E2964" s="20" t="n"/>
      <c r="F2964" s="20" t="n"/>
      <c r="G2964" s="19" t="n"/>
      <c r="H2964" s="21">
        <f>IF(A2964="","",YEAR(A2964)*100+MONTH(A2964))</f>
        <v/>
      </c>
    </row>
    <row r="2965">
      <c r="A2965" s="18" t="n"/>
      <c r="B2965" s="19" t="n"/>
      <c r="C2965" s="19" t="n"/>
      <c r="D2965" s="19" t="n"/>
      <c r="E2965" s="20" t="n"/>
      <c r="F2965" s="20" t="n"/>
      <c r="G2965" s="19" t="n"/>
      <c r="H2965" s="21">
        <f>IF(A2965="","",YEAR(A2965)*100+MONTH(A2965))</f>
        <v/>
      </c>
    </row>
    <row r="2966">
      <c r="A2966" s="18" t="n"/>
      <c r="B2966" s="19" t="n"/>
      <c r="C2966" s="19" t="n"/>
      <c r="D2966" s="19" t="n"/>
      <c r="E2966" s="20" t="n"/>
      <c r="F2966" s="20" t="n"/>
      <c r="G2966" s="19" t="n"/>
      <c r="H2966" s="21">
        <f>IF(A2966="","",YEAR(A2966)*100+MONTH(A2966))</f>
        <v/>
      </c>
    </row>
    <row r="2967">
      <c r="A2967" s="18" t="n"/>
      <c r="B2967" s="19" t="n"/>
      <c r="C2967" s="19" t="n"/>
      <c r="D2967" s="19" t="n"/>
      <c r="E2967" s="20" t="n"/>
      <c r="F2967" s="20" t="n"/>
      <c r="G2967" s="19" t="n"/>
      <c r="H2967" s="21">
        <f>IF(A2967="","",YEAR(A2967)*100+MONTH(A2967))</f>
        <v/>
      </c>
    </row>
    <row r="2968">
      <c r="A2968" s="18" t="n"/>
      <c r="B2968" s="19" t="n"/>
      <c r="C2968" s="19" t="n"/>
      <c r="D2968" s="19" t="n"/>
      <c r="E2968" s="20" t="n"/>
      <c r="F2968" s="20" t="n"/>
      <c r="G2968" s="19" t="n"/>
      <c r="H2968" s="21">
        <f>IF(A2968="","",YEAR(A2968)*100+MONTH(A2968))</f>
        <v/>
      </c>
    </row>
    <row r="2969">
      <c r="A2969" s="18" t="n"/>
      <c r="B2969" s="19" t="n"/>
      <c r="C2969" s="19" t="n"/>
      <c r="D2969" s="19" t="n"/>
      <c r="E2969" s="20" t="n"/>
      <c r="F2969" s="20" t="n"/>
      <c r="G2969" s="19" t="n"/>
      <c r="H2969" s="21">
        <f>IF(A2969="","",YEAR(A2969)*100+MONTH(A2969))</f>
        <v/>
      </c>
    </row>
    <row r="2970">
      <c r="A2970" s="18" t="n"/>
      <c r="B2970" s="19" t="n"/>
      <c r="C2970" s="19" t="n"/>
      <c r="D2970" s="19" t="n"/>
      <c r="E2970" s="20" t="n"/>
      <c r="F2970" s="20" t="n"/>
      <c r="G2970" s="19" t="n"/>
      <c r="H2970" s="21">
        <f>IF(A2970="","",YEAR(A2970)*100+MONTH(A2970))</f>
        <v/>
      </c>
    </row>
    <row r="2971">
      <c r="A2971" s="18" t="n"/>
      <c r="B2971" s="19" t="n"/>
      <c r="C2971" s="19" t="n"/>
      <c r="D2971" s="19" t="n"/>
      <c r="E2971" s="20" t="n"/>
      <c r="F2971" s="20" t="n"/>
      <c r="G2971" s="19" t="n"/>
      <c r="H2971" s="21">
        <f>IF(A2971="","",YEAR(A2971)*100+MONTH(A2971))</f>
        <v/>
      </c>
    </row>
    <row r="2972">
      <c r="A2972" s="18" t="n"/>
      <c r="B2972" s="19" t="n"/>
      <c r="C2972" s="19" t="n"/>
      <c r="D2972" s="19" t="n"/>
      <c r="E2972" s="20" t="n"/>
      <c r="F2972" s="20" t="n"/>
      <c r="G2972" s="19" t="n"/>
      <c r="H2972" s="21">
        <f>IF(A2972="","",YEAR(A2972)*100+MONTH(A2972))</f>
        <v/>
      </c>
    </row>
    <row r="2973">
      <c r="A2973" s="18" t="n"/>
      <c r="B2973" s="19" t="n"/>
      <c r="C2973" s="19" t="n"/>
      <c r="D2973" s="19" t="n"/>
      <c r="E2973" s="20" t="n"/>
      <c r="F2973" s="20" t="n"/>
      <c r="G2973" s="19" t="n"/>
      <c r="H2973" s="21">
        <f>IF(A2973="","",YEAR(A2973)*100+MONTH(A2973))</f>
        <v/>
      </c>
    </row>
    <row r="2974">
      <c r="A2974" s="18" t="n"/>
      <c r="B2974" s="19" t="n"/>
      <c r="C2974" s="19" t="n"/>
      <c r="D2974" s="19" t="n"/>
      <c r="E2974" s="20" t="n"/>
      <c r="F2974" s="20" t="n"/>
      <c r="G2974" s="19" t="n"/>
      <c r="H2974" s="21">
        <f>IF(A2974="","",YEAR(A2974)*100+MONTH(A2974))</f>
        <v/>
      </c>
    </row>
    <row r="2975">
      <c r="A2975" s="18" t="n"/>
      <c r="B2975" s="19" t="n"/>
      <c r="C2975" s="19" t="n"/>
      <c r="D2975" s="19" t="n"/>
      <c r="E2975" s="20" t="n"/>
      <c r="F2975" s="20" t="n"/>
      <c r="G2975" s="19" t="n"/>
      <c r="H2975" s="21">
        <f>IF(A2975="","",YEAR(A2975)*100+MONTH(A2975))</f>
        <v/>
      </c>
    </row>
    <row r="2976">
      <c r="A2976" s="18" t="n"/>
      <c r="B2976" s="19" t="n"/>
      <c r="C2976" s="19" t="n"/>
      <c r="D2976" s="19" t="n"/>
      <c r="E2976" s="20" t="n"/>
      <c r="F2976" s="20" t="n"/>
      <c r="G2976" s="19" t="n"/>
      <c r="H2976" s="21">
        <f>IF(A2976="","",YEAR(A2976)*100+MONTH(A2976))</f>
        <v/>
      </c>
    </row>
    <row r="2977">
      <c r="A2977" s="18" t="n"/>
      <c r="B2977" s="19" t="n"/>
      <c r="C2977" s="19" t="n"/>
      <c r="D2977" s="19" t="n"/>
      <c r="E2977" s="20" t="n"/>
      <c r="F2977" s="20" t="n"/>
      <c r="G2977" s="19" t="n"/>
      <c r="H2977" s="21">
        <f>IF(A2977="","",YEAR(A2977)*100+MONTH(A2977))</f>
        <v/>
      </c>
    </row>
    <row r="2978">
      <c r="A2978" s="18" t="n"/>
      <c r="B2978" s="19" t="n"/>
      <c r="C2978" s="19" t="n"/>
      <c r="D2978" s="19" t="n"/>
      <c r="E2978" s="20" t="n"/>
      <c r="F2978" s="20" t="n"/>
      <c r="G2978" s="19" t="n"/>
      <c r="H2978" s="21">
        <f>IF(A2978="","",YEAR(A2978)*100+MONTH(A2978))</f>
        <v/>
      </c>
    </row>
    <row r="2979">
      <c r="A2979" s="18" t="n"/>
      <c r="B2979" s="19" t="n"/>
      <c r="C2979" s="19" t="n"/>
      <c r="D2979" s="19" t="n"/>
      <c r="E2979" s="20" t="n"/>
      <c r="F2979" s="20" t="n"/>
      <c r="G2979" s="19" t="n"/>
      <c r="H2979" s="21">
        <f>IF(A2979="","",YEAR(A2979)*100+MONTH(A2979))</f>
        <v/>
      </c>
    </row>
    <row r="2980">
      <c r="A2980" s="18" t="n"/>
      <c r="B2980" s="19" t="n"/>
      <c r="C2980" s="19" t="n"/>
      <c r="D2980" s="19" t="n"/>
      <c r="E2980" s="20" t="n"/>
      <c r="F2980" s="20" t="n"/>
      <c r="G2980" s="19" t="n"/>
      <c r="H2980" s="21">
        <f>IF(A2980="","",YEAR(A2980)*100+MONTH(A2980))</f>
        <v/>
      </c>
    </row>
    <row r="2981">
      <c r="A2981" s="18" t="n"/>
      <c r="B2981" s="19" t="n"/>
      <c r="C2981" s="19" t="n"/>
      <c r="D2981" s="19" t="n"/>
      <c r="E2981" s="20" t="n"/>
      <c r="F2981" s="20" t="n"/>
      <c r="G2981" s="19" t="n"/>
      <c r="H2981" s="21">
        <f>IF(A2981="","",YEAR(A2981)*100+MONTH(A2981))</f>
        <v/>
      </c>
    </row>
    <row r="2982">
      <c r="A2982" s="18" t="n"/>
      <c r="B2982" s="19" t="n"/>
      <c r="C2982" s="19" t="n"/>
      <c r="D2982" s="19" t="n"/>
      <c r="E2982" s="20" t="n"/>
      <c r="F2982" s="20" t="n"/>
      <c r="G2982" s="19" t="n"/>
      <c r="H2982" s="21">
        <f>IF(A2982="","",YEAR(A2982)*100+MONTH(A2982))</f>
        <v/>
      </c>
    </row>
    <row r="2983">
      <c r="A2983" s="18" t="n"/>
      <c r="B2983" s="19" t="n"/>
      <c r="C2983" s="19" t="n"/>
      <c r="D2983" s="19" t="n"/>
      <c r="E2983" s="20" t="n"/>
      <c r="F2983" s="20" t="n"/>
      <c r="G2983" s="19" t="n"/>
      <c r="H2983" s="21">
        <f>IF(A2983="","",YEAR(A2983)*100+MONTH(A2983))</f>
        <v/>
      </c>
    </row>
    <row r="2984">
      <c r="A2984" s="18" t="n"/>
      <c r="B2984" s="19" t="n"/>
      <c r="C2984" s="19" t="n"/>
      <c r="D2984" s="19" t="n"/>
      <c r="E2984" s="20" t="n"/>
      <c r="F2984" s="20" t="n"/>
      <c r="G2984" s="19" t="n"/>
      <c r="H2984" s="21">
        <f>IF(A2984="","",YEAR(A2984)*100+MONTH(A2984))</f>
        <v/>
      </c>
    </row>
    <row r="2985">
      <c r="A2985" s="18" t="n"/>
      <c r="B2985" s="19" t="n"/>
      <c r="C2985" s="19" t="n"/>
      <c r="D2985" s="19" t="n"/>
      <c r="E2985" s="20" t="n"/>
      <c r="F2985" s="20" t="n"/>
      <c r="G2985" s="19" t="n"/>
      <c r="H2985" s="21">
        <f>IF(A2985="","",YEAR(A2985)*100+MONTH(A2985))</f>
        <v/>
      </c>
    </row>
    <row r="2986">
      <c r="A2986" s="18" t="n"/>
      <c r="B2986" s="19" t="n"/>
      <c r="C2986" s="19" t="n"/>
      <c r="D2986" s="19" t="n"/>
      <c r="E2986" s="20" t="n"/>
      <c r="F2986" s="20" t="n"/>
      <c r="G2986" s="19" t="n"/>
      <c r="H2986" s="21">
        <f>IF(A2986="","",YEAR(A2986)*100+MONTH(A2986))</f>
        <v/>
      </c>
    </row>
    <row r="2987">
      <c r="A2987" s="18" t="n"/>
      <c r="B2987" s="19" t="n"/>
      <c r="C2987" s="19" t="n"/>
      <c r="D2987" s="19" t="n"/>
      <c r="E2987" s="20" t="n"/>
      <c r="F2987" s="20" t="n"/>
      <c r="G2987" s="19" t="n"/>
      <c r="H2987" s="21">
        <f>IF(A2987="","",YEAR(A2987)*100+MONTH(A2987))</f>
        <v/>
      </c>
    </row>
    <row r="2988">
      <c r="A2988" s="18" t="n"/>
      <c r="B2988" s="19" t="n"/>
      <c r="C2988" s="19" t="n"/>
      <c r="D2988" s="19" t="n"/>
      <c r="E2988" s="20" t="n"/>
      <c r="F2988" s="20" t="n"/>
      <c r="G2988" s="19" t="n"/>
      <c r="H2988" s="21">
        <f>IF(A2988="","",YEAR(A2988)*100+MONTH(A2988))</f>
        <v/>
      </c>
    </row>
    <row r="2989">
      <c r="A2989" s="18" t="n"/>
      <c r="B2989" s="19" t="n"/>
      <c r="C2989" s="19" t="n"/>
      <c r="D2989" s="19" t="n"/>
      <c r="E2989" s="20" t="n"/>
      <c r="F2989" s="20" t="n"/>
      <c r="G2989" s="19" t="n"/>
      <c r="H2989" s="21">
        <f>IF(A2989="","",YEAR(A2989)*100+MONTH(A2989))</f>
        <v/>
      </c>
    </row>
    <row r="2990">
      <c r="A2990" s="18" t="n"/>
      <c r="B2990" s="19" t="n"/>
      <c r="C2990" s="19" t="n"/>
      <c r="D2990" s="19" t="n"/>
      <c r="E2990" s="20" t="n"/>
      <c r="F2990" s="20" t="n"/>
      <c r="G2990" s="19" t="n"/>
      <c r="H2990" s="21">
        <f>IF(A2990="","",YEAR(A2990)*100+MONTH(A2990))</f>
        <v/>
      </c>
    </row>
    <row r="2991">
      <c r="A2991" s="18" t="n"/>
      <c r="B2991" s="19" t="n"/>
      <c r="C2991" s="19" t="n"/>
      <c r="D2991" s="19" t="n"/>
      <c r="E2991" s="20" t="n"/>
      <c r="F2991" s="20" t="n"/>
      <c r="G2991" s="19" t="n"/>
      <c r="H2991" s="21">
        <f>IF(A2991="","",YEAR(A2991)*100+MONTH(A2991))</f>
        <v/>
      </c>
    </row>
    <row r="2992">
      <c r="A2992" s="18" t="n"/>
      <c r="B2992" s="19" t="n"/>
      <c r="C2992" s="19" t="n"/>
      <c r="D2992" s="19" t="n"/>
      <c r="E2992" s="20" t="n"/>
      <c r="F2992" s="20" t="n"/>
      <c r="G2992" s="19" t="n"/>
      <c r="H2992" s="21">
        <f>IF(A2992="","",YEAR(A2992)*100+MONTH(A2992))</f>
        <v/>
      </c>
    </row>
    <row r="2993">
      <c r="A2993" s="18" t="n"/>
      <c r="B2993" s="19" t="n"/>
      <c r="C2993" s="19" t="n"/>
      <c r="D2993" s="19" t="n"/>
      <c r="E2993" s="20" t="n"/>
      <c r="F2993" s="20" t="n"/>
      <c r="G2993" s="19" t="n"/>
      <c r="H2993" s="21">
        <f>IF(A2993="","",YEAR(A2993)*100+MONTH(A2993))</f>
        <v/>
      </c>
    </row>
    <row r="2994">
      <c r="A2994" s="18" t="n"/>
      <c r="B2994" s="19" t="n"/>
      <c r="C2994" s="19" t="n"/>
      <c r="D2994" s="19" t="n"/>
      <c r="E2994" s="20" t="n"/>
      <c r="F2994" s="20" t="n"/>
      <c r="G2994" s="19" t="n"/>
      <c r="H2994" s="21">
        <f>IF(A2994="","",YEAR(A2994)*100+MONTH(A2994))</f>
        <v/>
      </c>
    </row>
    <row r="2995">
      <c r="A2995" s="18" t="n"/>
      <c r="B2995" s="19" t="n"/>
      <c r="C2995" s="19" t="n"/>
      <c r="D2995" s="19" t="n"/>
      <c r="E2995" s="20" t="n"/>
      <c r="F2995" s="20" t="n"/>
      <c r="G2995" s="19" t="n"/>
      <c r="H2995" s="21">
        <f>IF(A2995="","",YEAR(A2995)*100+MONTH(A2995))</f>
        <v/>
      </c>
    </row>
    <row r="2996">
      <c r="A2996" s="18" t="n"/>
      <c r="B2996" s="19" t="n"/>
      <c r="C2996" s="19" t="n"/>
      <c r="D2996" s="19" t="n"/>
      <c r="E2996" s="20" t="n"/>
      <c r="F2996" s="20" t="n"/>
      <c r="G2996" s="19" t="n"/>
      <c r="H2996" s="21">
        <f>IF(A2996="","",YEAR(A2996)*100+MONTH(A2996))</f>
        <v/>
      </c>
    </row>
    <row r="2997">
      <c r="A2997" s="18" t="n"/>
      <c r="B2997" s="19" t="n"/>
      <c r="C2997" s="19" t="n"/>
      <c r="D2997" s="19" t="n"/>
      <c r="E2997" s="20" t="n"/>
      <c r="F2997" s="20" t="n"/>
      <c r="G2997" s="19" t="n"/>
      <c r="H2997" s="21">
        <f>IF(A2997="","",YEAR(A2997)*100+MONTH(A2997))</f>
        <v/>
      </c>
    </row>
    <row r="2998">
      <c r="A2998" s="18" t="n"/>
      <c r="B2998" s="19" t="n"/>
      <c r="C2998" s="19" t="n"/>
      <c r="D2998" s="19" t="n"/>
      <c r="E2998" s="20" t="n"/>
      <c r="F2998" s="20" t="n"/>
      <c r="G2998" s="19" t="n"/>
      <c r="H2998" s="21">
        <f>IF(A2998="","",YEAR(A2998)*100+MONTH(A2998))</f>
        <v/>
      </c>
    </row>
    <row r="2999">
      <c r="A2999" s="18" t="n"/>
      <c r="B2999" s="19" t="n"/>
      <c r="C2999" s="19" t="n"/>
      <c r="D2999" s="19" t="n"/>
      <c r="E2999" s="20" t="n"/>
      <c r="F2999" s="20" t="n"/>
      <c r="G2999" s="19" t="n"/>
      <c r="H2999" s="21">
        <f>IF(A2999="","",YEAR(A2999)*100+MONTH(A2999))</f>
        <v/>
      </c>
    </row>
    <row r="3000">
      <c r="A3000" s="18" t="n"/>
      <c r="B3000" s="19" t="n"/>
      <c r="C3000" s="19" t="n"/>
      <c r="D3000" s="19" t="n"/>
      <c r="E3000" s="20" t="n"/>
      <c r="F3000" s="20" t="n"/>
      <c r="G3000" s="19" t="n"/>
      <c r="H3000" s="21">
        <f>IF(A3000="","",YEAR(A3000)*100+MONTH(A3000))</f>
        <v/>
      </c>
    </row>
    <row r="3001">
      <c r="A3001" s="18" t="n"/>
      <c r="B3001" s="19" t="n"/>
      <c r="C3001" s="19" t="n"/>
      <c r="D3001" s="19" t="n"/>
      <c r="E3001" s="20" t="n"/>
      <c r="F3001" s="20" t="n"/>
      <c r="G3001" s="19" t="n"/>
      <c r="H3001" s="21">
        <f>IF(A3001="","",YEAR(A3001)*100+MONTH(A3001))</f>
        <v/>
      </c>
    </row>
  </sheetData>
  <autoFilter ref="A1:H3001"/>
  <dataValidations count="2">
    <dataValidation sqref="B2:B3001" showDropDown="0" showInputMessage="0" showErrorMessage="0" allowBlank="1" type="list">
      <formula1>"Cố định,Phát sinh"</formula1>
    </dataValidation>
    <dataValidation sqref="C2:C3001" showDropDown="0" showInputMessage="0" showErrorMessage="0" allowBlank="1" type="list">
      <formula1>='Danh mục'!$A$2:$A$31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1" customWidth="1" min="8" max="8"/>
    <col width="11" customWidth="1" min="9" max="9"/>
  </cols>
  <sheetData>
    <row r="1">
      <c r="A1" s="22" t="inlineStr">
        <is>
          <t>THỐNG KÊ THU CHI NĂM</t>
        </is>
      </c>
    </row>
    <row r="2">
      <c r="A2" s="4" t="inlineStr">
        <is>
          <t>Năm:</t>
        </is>
      </c>
      <c r="B2" s="5" t="n">
        <v>2026</v>
      </c>
    </row>
    <row r="4">
      <c r="A4" s="23" t="inlineStr">
        <is>
          <t>Tháng</t>
        </is>
      </c>
      <c r="B4" s="23" t="inlineStr">
        <is>
          <t>Tổng thu</t>
        </is>
      </c>
      <c r="C4" s="23" t="inlineStr">
        <is>
          <t>Tổng chi</t>
        </is>
      </c>
      <c r="D4" s="23" t="inlineStr">
        <is>
          <t>Chi cố định</t>
        </is>
      </c>
      <c r="E4" s="23" t="inlineStr">
        <is>
          <t>Chi phát sinh</t>
        </is>
      </c>
      <c r="F4" s="23" t="inlineStr">
        <is>
          <t>Tồn (thu − chi)</t>
        </is>
      </c>
      <c r="G4" s="23" t="inlineStr">
        <is>
          <t>Tồn lũy kế</t>
        </is>
      </c>
      <c r="H4" s="23" t="inlineStr">
        <is>
          <t>Tiết kiệm %</t>
        </is>
      </c>
      <c r="I4" s="23" t="inlineStr">
        <is>
          <t>Số giao dịch</t>
        </is>
      </c>
    </row>
    <row r="5">
      <c r="A5" s="10" t="inlineStr">
        <is>
          <t>T1</t>
        </is>
      </c>
      <c r="B5" s="10">
        <f>SUMIFS('Sổ giao dịch'!$E$2:$E$3001,'Sổ giao dịch'!$H$2:$H$3001,($B$2*100+1))</f>
        <v/>
      </c>
      <c r="C5" s="10">
        <f>SUMIFS('Sổ giao dịch'!$F$2:$F$3001,'Sổ giao dịch'!$H$2:$H$3001,($B$2*100+1))</f>
        <v/>
      </c>
      <c r="D5" s="10">
        <f>SUMIFS('Sổ giao dịch'!$F$2:$F$3001,'Sổ giao dịch'!$H$2:$H$3001,($B$2*100+1),'Sổ giao dịch'!$B$2:$B$3001,"Cố định")</f>
        <v/>
      </c>
      <c r="E5" s="10">
        <f>C5-D5</f>
        <v/>
      </c>
      <c r="F5" s="10">
        <f>B5-C5</f>
        <v/>
      </c>
      <c r="G5" s="10">
        <f>F5</f>
        <v/>
      </c>
      <c r="H5" s="13">
        <f>IF(B5=0,"",F5/B5)</f>
        <v/>
      </c>
      <c r="I5" s="14">
        <f>COUNTIFS('Sổ giao dịch'!$H$2:$H$3001,($B$2*100+1))</f>
        <v/>
      </c>
    </row>
    <row r="6">
      <c r="A6" s="10" t="inlineStr">
        <is>
          <t>T2</t>
        </is>
      </c>
      <c r="B6" s="10">
        <f>SUMIFS('Sổ giao dịch'!$E$2:$E$3001,'Sổ giao dịch'!$H$2:$H$3001,($B$2*100+2))</f>
        <v/>
      </c>
      <c r="C6" s="10">
        <f>SUMIFS('Sổ giao dịch'!$F$2:$F$3001,'Sổ giao dịch'!$H$2:$H$3001,($B$2*100+2))</f>
        <v/>
      </c>
      <c r="D6" s="10">
        <f>SUMIFS('Sổ giao dịch'!$F$2:$F$3001,'Sổ giao dịch'!$H$2:$H$3001,($B$2*100+2),'Sổ giao dịch'!$B$2:$B$3001,"Cố định")</f>
        <v/>
      </c>
      <c r="E6" s="10">
        <f>C6-D6</f>
        <v/>
      </c>
      <c r="F6" s="10">
        <f>B6-C6</f>
        <v/>
      </c>
      <c r="G6" s="10">
        <f>G5+F6</f>
        <v/>
      </c>
      <c r="H6" s="13">
        <f>IF(B6=0,"",F6/B6)</f>
        <v/>
      </c>
      <c r="I6" s="14">
        <f>COUNTIFS('Sổ giao dịch'!$H$2:$H$3001,($B$2*100+2))</f>
        <v/>
      </c>
    </row>
    <row r="7">
      <c r="A7" s="10" t="inlineStr">
        <is>
          <t>T3</t>
        </is>
      </c>
      <c r="B7" s="10">
        <f>SUMIFS('Sổ giao dịch'!$E$2:$E$3001,'Sổ giao dịch'!$H$2:$H$3001,($B$2*100+3))</f>
        <v/>
      </c>
      <c r="C7" s="10">
        <f>SUMIFS('Sổ giao dịch'!$F$2:$F$3001,'Sổ giao dịch'!$H$2:$H$3001,($B$2*100+3))</f>
        <v/>
      </c>
      <c r="D7" s="10">
        <f>SUMIFS('Sổ giao dịch'!$F$2:$F$3001,'Sổ giao dịch'!$H$2:$H$3001,($B$2*100+3),'Sổ giao dịch'!$B$2:$B$3001,"Cố định")</f>
        <v/>
      </c>
      <c r="E7" s="10">
        <f>C7-D7</f>
        <v/>
      </c>
      <c r="F7" s="10">
        <f>B7-C7</f>
        <v/>
      </c>
      <c r="G7" s="10">
        <f>G6+F7</f>
        <v/>
      </c>
      <c r="H7" s="13">
        <f>IF(B7=0,"",F7/B7)</f>
        <v/>
      </c>
      <c r="I7" s="14">
        <f>COUNTIFS('Sổ giao dịch'!$H$2:$H$3001,($B$2*100+3))</f>
        <v/>
      </c>
    </row>
    <row r="8">
      <c r="A8" s="10" t="inlineStr">
        <is>
          <t>T4</t>
        </is>
      </c>
      <c r="B8" s="10">
        <f>SUMIFS('Sổ giao dịch'!$E$2:$E$3001,'Sổ giao dịch'!$H$2:$H$3001,($B$2*100+4))</f>
        <v/>
      </c>
      <c r="C8" s="10">
        <f>SUMIFS('Sổ giao dịch'!$F$2:$F$3001,'Sổ giao dịch'!$H$2:$H$3001,($B$2*100+4))</f>
        <v/>
      </c>
      <c r="D8" s="10">
        <f>SUMIFS('Sổ giao dịch'!$F$2:$F$3001,'Sổ giao dịch'!$H$2:$H$3001,($B$2*100+4),'Sổ giao dịch'!$B$2:$B$3001,"Cố định")</f>
        <v/>
      </c>
      <c r="E8" s="10">
        <f>C8-D8</f>
        <v/>
      </c>
      <c r="F8" s="10">
        <f>B8-C8</f>
        <v/>
      </c>
      <c r="G8" s="10">
        <f>G7+F8</f>
        <v/>
      </c>
      <c r="H8" s="13">
        <f>IF(B8=0,"",F8/B8)</f>
        <v/>
      </c>
      <c r="I8" s="14">
        <f>COUNTIFS('Sổ giao dịch'!$H$2:$H$3001,($B$2*100+4))</f>
        <v/>
      </c>
    </row>
    <row r="9">
      <c r="A9" s="10" t="inlineStr">
        <is>
          <t>T5</t>
        </is>
      </c>
      <c r="B9" s="10">
        <f>SUMIFS('Sổ giao dịch'!$E$2:$E$3001,'Sổ giao dịch'!$H$2:$H$3001,($B$2*100+5))</f>
        <v/>
      </c>
      <c r="C9" s="10">
        <f>SUMIFS('Sổ giao dịch'!$F$2:$F$3001,'Sổ giao dịch'!$H$2:$H$3001,($B$2*100+5))</f>
        <v/>
      </c>
      <c r="D9" s="10">
        <f>SUMIFS('Sổ giao dịch'!$F$2:$F$3001,'Sổ giao dịch'!$H$2:$H$3001,($B$2*100+5),'Sổ giao dịch'!$B$2:$B$3001,"Cố định")</f>
        <v/>
      </c>
      <c r="E9" s="10">
        <f>C9-D9</f>
        <v/>
      </c>
      <c r="F9" s="10">
        <f>B9-C9</f>
        <v/>
      </c>
      <c r="G9" s="10">
        <f>G8+F9</f>
        <v/>
      </c>
      <c r="H9" s="13">
        <f>IF(B9=0,"",F9/B9)</f>
        <v/>
      </c>
      <c r="I9" s="14">
        <f>COUNTIFS('Sổ giao dịch'!$H$2:$H$3001,($B$2*100+5))</f>
        <v/>
      </c>
    </row>
    <row r="10">
      <c r="A10" s="10" t="inlineStr">
        <is>
          <t>T6</t>
        </is>
      </c>
      <c r="B10" s="10">
        <f>SUMIFS('Sổ giao dịch'!$E$2:$E$3001,'Sổ giao dịch'!$H$2:$H$3001,($B$2*100+6))</f>
        <v/>
      </c>
      <c r="C10" s="10">
        <f>SUMIFS('Sổ giao dịch'!$F$2:$F$3001,'Sổ giao dịch'!$H$2:$H$3001,($B$2*100+6))</f>
        <v/>
      </c>
      <c r="D10" s="10">
        <f>SUMIFS('Sổ giao dịch'!$F$2:$F$3001,'Sổ giao dịch'!$H$2:$H$3001,($B$2*100+6),'Sổ giao dịch'!$B$2:$B$3001,"Cố định")</f>
        <v/>
      </c>
      <c r="E10" s="10">
        <f>C10-D10</f>
        <v/>
      </c>
      <c r="F10" s="10">
        <f>B10-C10</f>
        <v/>
      </c>
      <c r="G10" s="10">
        <f>G9+F10</f>
        <v/>
      </c>
      <c r="H10" s="13">
        <f>IF(B10=0,"",F10/B10)</f>
        <v/>
      </c>
      <c r="I10" s="14">
        <f>COUNTIFS('Sổ giao dịch'!$H$2:$H$3001,($B$2*100+6))</f>
        <v/>
      </c>
    </row>
    <row r="11">
      <c r="A11" s="10" t="inlineStr">
        <is>
          <t>T7</t>
        </is>
      </c>
      <c r="B11" s="10">
        <f>SUMIFS('Sổ giao dịch'!$E$2:$E$3001,'Sổ giao dịch'!$H$2:$H$3001,($B$2*100+7))</f>
        <v/>
      </c>
      <c r="C11" s="10">
        <f>SUMIFS('Sổ giao dịch'!$F$2:$F$3001,'Sổ giao dịch'!$H$2:$H$3001,($B$2*100+7))</f>
        <v/>
      </c>
      <c r="D11" s="10">
        <f>SUMIFS('Sổ giao dịch'!$F$2:$F$3001,'Sổ giao dịch'!$H$2:$H$3001,($B$2*100+7),'Sổ giao dịch'!$B$2:$B$3001,"Cố định")</f>
        <v/>
      </c>
      <c r="E11" s="10">
        <f>C11-D11</f>
        <v/>
      </c>
      <c r="F11" s="10">
        <f>B11-C11</f>
        <v/>
      </c>
      <c r="G11" s="10">
        <f>G10+F11</f>
        <v/>
      </c>
      <c r="H11" s="13">
        <f>IF(B11=0,"",F11/B11)</f>
        <v/>
      </c>
      <c r="I11" s="14">
        <f>COUNTIFS('Sổ giao dịch'!$H$2:$H$3001,($B$2*100+7))</f>
        <v/>
      </c>
    </row>
    <row r="12">
      <c r="A12" s="10" t="inlineStr">
        <is>
          <t>T8</t>
        </is>
      </c>
      <c r="B12" s="10">
        <f>SUMIFS('Sổ giao dịch'!$E$2:$E$3001,'Sổ giao dịch'!$H$2:$H$3001,($B$2*100+8))</f>
        <v/>
      </c>
      <c r="C12" s="10">
        <f>SUMIFS('Sổ giao dịch'!$F$2:$F$3001,'Sổ giao dịch'!$H$2:$H$3001,($B$2*100+8))</f>
        <v/>
      </c>
      <c r="D12" s="10">
        <f>SUMIFS('Sổ giao dịch'!$F$2:$F$3001,'Sổ giao dịch'!$H$2:$H$3001,($B$2*100+8),'Sổ giao dịch'!$B$2:$B$3001,"Cố định")</f>
        <v/>
      </c>
      <c r="E12" s="10">
        <f>C12-D12</f>
        <v/>
      </c>
      <c r="F12" s="10">
        <f>B12-C12</f>
        <v/>
      </c>
      <c r="G12" s="10">
        <f>G11+F12</f>
        <v/>
      </c>
      <c r="H12" s="13">
        <f>IF(B12=0,"",F12/B12)</f>
        <v/>
      </c>
      <c r="I12" s="14">
        <f>COUNTIFS('Sổ giao dịch'!$H$2:$H$3001,($B$2*100+8))</f>
        <v/>
      </c>
    </row>
    <row r="13">
      <c r="A13" s="10" t="inlineStr">
        <is>
          <t>T9</t>
        </is>
      </c>
      <c r="B13" s="10">
        <f>SUMIFS('Sổ giao dịch'!$E$2:$E$3001,'Sổ giao dịch'!$H$2:$H$3001,($B$2*100+9))</f>
        <v/>
      </c>
      <c r="C13" s="10">
        <f>SUMIFS('Sổ giao dịch'!$F$2:$F$3001,'Sổ giao dịch'!$H$2:$H$3001,($B$2*100+9))</f>
        <v/>
      </c>
      <c r="D13" s="10">
        <f>SUMIFS('Sổ giao dịch'!$F$2:$F$3001,'Sổ giao dịch'!$H$2:$H$3001,($B$2*100+9),'Sổ giao dịch'!$B$2:$B$3001,"Cố định")</f>
        <v/>
      </c>
      <c r="E13" s="10">
        <f>C13-D13</f>
        <v/>
      </c>
      <c r="F13" s="10">
        <f>B13-C13</f>
        <v/>
      </c>
      <c r="G13" s="10">
        <f>G12+F13</f>
        <v/>
      </c>
      <c r="H13" s="13">
        <f>IF(B13=0,"",F13/B13)</f>
        <v/>
      </c>
      <c r="I13" s="14">
        <f>COUNTIFS('Sổ giao dịch'!$H$2:$H$3001,($B$2*100+9))</f>
        <v/>
      </c>
    </row>
    <row r="14">
      <c r="A14" s="10" t="inlineStr">
        <is>
          <t>T10</t>
        </is>
      </c>
      <c r="B14" s="10">
        <f>SUMIFS('Sổ giao dịch'!$E$2:$E$3001,'Sổ giao dịch'!$H$2:$H$3001,($B$2*100+10))</f>
        <v/>
      </c>
      <c r="C14" s="10">
        <f>SUMIFS('Sổ giao dịch'!$F$2:$F$3001,'Sổ giao dịch'!$H$2:$H$3001,($B$2*100+10))</f>
        <v/>
      </c>
      <c r="D14" s="10">
        <f>SUMIFS('Sổ giao dịch'!$F$2:$F$3001,'Sổ giao dịch'!$H$2:$H$3001,($B$2*100+10),'Sổ giao dịch'!$B$2:$B$3001,"Cố định")</f>
        <v/>
      </c>
      <c r="E14" s="10">
        <f>C14-D14</f>
        <v/>
      </c>
      <c r="F14" s="10">
        <f>B14-C14</f>
        <v/>
      </c>
      <c r="G14" s="10">
        <f>G13+F14</f>
        <v/>
      </c>
      <c r="H14" s="13">
        <f>IF(B14=0,"",F14/B14)</f>
        <v/>
      </c>
      <c r="I14" s="14">
        <f>COUNTIFS('Sổ giao dịch'!$H$2:$H$3001,($B$2*100+10))</f>
        <v/>
      </c>
    </row>
    <row r="15">
      <c r="A15" s="10" t="inlineStr">
        <is>
          <t>T11</t>
        </is>
      </c>
      <c r="B15" s="10">
        <f>SUMIFS('Sổ giao dịch'!$E$2:$E$3001,'Sổ giao dịch'!$H$2:$H$3001,($B$2*100+11))</f>
        <v/>
      </c>
      <c r="C15" s="10">
        <f>SUMIFS('Sổ giao dịch'!$F$2:$F$3001,'Sổ giao dịch'!$H$2:$H$3001,($B$2*100+11))</f>
        <v/>
      </c>
      <c r="D15" s="10">
        <f>SUMIFS('Sổ giao dịch'!$F$2:$F$3001,'Sổ giao dịch'!$H$2:$H$3001,($B$2*100+11),'Sổ giao dịch'!$B$2:$B$3001,"Cố định")</f>
        <v/>
      </c>
      <c r="E15" s="10">
        <f>C15-D15</f>
        <v/>
      </c>
      <c r="F15" s="10">
        <f>B15-C15</f>
        <v/>
      </c>
      <c r="G15" s="10">
        <f>G14+F15</f>
        <v/>
      </c>
      <c r="H15" s="13">
        <f>IF(B15=0,"",F15/B15)</f>
        <v/>
      </c>
      <c r="I15" s="14">
        <f>COUNTIFS('Sổ giao dịch'!$H$2:$H$3001,($B$2*100+11))</f>
        <v/>
      </c>
    </row>
    <row r="16">
      <c r="A16" s="10" t="inlineStr">
        <is>
          <t>T12</t>
        </is>
      </c>
      <c r="B16" s="10">
        <f>SUMIFS('Sổ giao dịch'!$E$2:$E$3001,'Sổ giao dịch'!$H$2:$H$3001,($B$2*100+12))</f>
        <v/>
      </c>
      <c r="C16" s="10">
        <f>SUMIFS('Sổ giao dịch'!$F$2:$F$3001,'Sổ giao dịch'!$H$2:$H$3001,($B$2*100+12))</f>
        <v/>
      </c>
      <c r="D16" s="10">
        <f>SUMIFS('Sổ giao dịch'!$F$2:$F$3001,'Sổ giao dịch'!$H$2:$H$3001,($B$2*100+12),'Sổ giao dịch'!$B$2:$B$3001,"Cố định")</f>
        <v/>
      </c>
      <c r="E16" s="10">
        <f>C16-D16</f>
        <v/>
      </c>
      <c r="F16" s="10">
        <f>B16-C16</f>
        <v/>
      </c>
      <c r="G16" s="10">
        <f>G15+F16</f>
        <v/>
      </c>
      <c r="H16" s="13">
        <f>IF(B16=0,"",F16/B16)</f>
        <v/>
      </c>
      <c r="I16" s="14">
        <f>COUNTIFS('Sổ giao dịch'!$H$2:$H$3001,($B$2*100+12))</f>
        <v/>
      </c>
    </row>
    <row r="17">
      <c r="A17" s="12" t="inlineStr">
        <is>
          <t>CẢ NĂM</t>
        </is>
      </c>
      <c r="B17" s="12">
        <f>SUM(B5:B16)</f>
        <v/>
      </c>
      <c r="C17" s="12">
        <f>SUM(C5:C16)</f>
        <v/>
      </c>
      <c r="D17" s="12">
        <f>SUM(D5:D16)</f>
        <v/>
      </c>
      <c r="E17" s="12">
        <f>SUM(E5:E16)</f>
        <v/>
      </c>
      <c r="F17" s="12">
        <f>SUM(F5:F16)</f>
        <v/>
      </c>
      <c r="G17" s="12">
        <f>G16</f>
        <v/>
      </c>
      <c r="H17" s="24">
        <f>IF(B17=0,"",F17/B17)</f>
        <v/>
      </c>
      <c r="I17" s="25">
        <f>SUM(I5:I16)</f>
        <v/>
      </c>
    </row>
    <row r="19">
      <c r="A19" s="4" t="inlineStr">
        <is>
          <t>Số tháng có dữ liệu</t>
        </is>
      </c>
      <c r="B19" s="26">
        <f>COUNTIF(I5:I16,"&gt;0")</f>
        <v/>
      </c>
    </row>
    <row r="20">
      <c r="A20" s="4" t="inlineStr">
        <is>
          <t>Thu trung bình / tháng</t>
        </is>
      </c>
      <c r="B20" s="27">
        <f>IF(B19=0,0,B17/B19)</f>
        <v/>
      </c>
    </row>
    <row r="21">
      <c r="A21" s="4" t="inlineStr">
        <is>
          <t>Chi trung bình / tháng</t>
        </is>
      </c>
      <c r="B21" s="27">
        <f>IF(B19=0,0,C17/B19)</f>
        <v/>
      </c>
    </row>
    <row r="22">
      <c r="A22" s="4" t="inlineStr">
        <is>
          <t>Chi nhiều nhất trong 1 tháng</t>
        </is>
      </c>
      <c r="B22" s="27">
        <f>MAX(C5:C16)</f>
        <v/>
      </c>
    </row>
    <row r="23">
      <c r="A23" s="4" t="inlineStr">
        <is>
          <t>Tháng chi nhiều nhất</t>
        </is>
      </c>
      <c r="B23" s="27">
        <f>IF(B22=0,"",INDEX(A5:A16,MATCH(B22,C5:C16,0)))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22" t="inlineStr">
        <is>
          <t>CHI / THU THEO DANH MỤC – NĂM</t>
        </is>
      </c>
      <c r="F1" s="22">
        <f>'Thống kê tháng'!B2</f>
        <v/>
      </c>
    </row>
    <row r="2">
      <c r="A2" s="8" t="inlineStr">
        <is>
          <t>(Năm lấy theo ô vàng ở sheet "Thống kê tháng")</t>
        </is>
      </c>
    </row>
    <row r="4">
      <c r="A4" s="17" t="inlineStr">
        <is>
          <t>Danh mục</t>
        </is>
      </c>
      <c r="B4" s="17" t="inlineStr">
        <is>
          <t>Loại</t>
        </is>
      </c>
      <c r="C4" s="17" t="inlineStr">
        <is>
          <t>T1</t>
        </is>
      </c>
      <c r="D4" s="17" t="inlineStr">
        <is>
          <t>T2</t>
        </is>
      </c>
      <c r="E4" s="17" t="inlineStr">
        <is>
          <t>T3</t>
        </is>
      </c>
      <c r="F4" s="17" t="inlineStr">
        <is>
          <t>T4</t>
        </is>
      </c>
      <c r="G4" s="17" t="inlineStr">
        <is>
          <t>T5</t>
        </is>
      </c>
      <c r="H4" s="17" t="inlineStr">
        <is>
          <t>T6</t>
        </is>
      </c>
      <c r="I4" s="17" t="inlineStr">
        <is>
          <t>T7</t>
        </is>
      </c>
      <c r="J4" s="17" t="inlineStr">
        <is>
          <t>T8</t>
        </is>
      </c>
      <c r="K4" s="17" t="inlineStr">
        <is>
          <t>T9</t>
        </is>
      </c>
      <c r="L4" s="17" t="inlineStr">
        <is>
          <t>T10</t>
        </is>
      </c>
      <c r="M4" s="17" t="inlineStr">
        <is>
          <t>T11</t>
        </is>
      </c>
      <c r="N4" s="17" t="inlineStr">
        <is>
          <t>T12</t>
        </is>
      </c>
      <c r="O4" s="17" t="inlineStr">
        <is>
          <t>Cả năm</t>
        </is>
      </c>
      <c r="P4" s="17" t="inlineStr">
        <is>
          <t>TB / tháng</t>
        </is>
      </c>
      <c r="Q4" s="17" t="inlineStr">
        <is>
          <t>Ngân sách / tháng</t>
        </is>
      </c>
      <c r="R4" s="17" t="inlineStr">
        <is>
          <t>TB so với NS</t>
        </is>
      </c>
    </row>
    <row r="5">
      <c r="A5" s="16">
        <f>IF('Danh mục'!A2="","",'Danh mục'!A2)</f>
        <v/>
      </c>
      <c r="B5" s="16">
        <f>IF(A5="","",'Danh mục'!B2)</f>
        <v/>
      </c>
      <c r="C5" s="10">
        <f>IF(A5="","",IF(B5="Thu",SUMIFS('Sổ giao dịch'!$E$2:$E$3001,'Sổ giao dịch'!$C$2:$C$3001,A5,'Sổ giao dịch'!$H$2:$H$3001,'Thống kê tháng'!$B$2*100+1),SUMIFS('Sổ giao dịch'!$F$2:$F$3001,'Sổ giao dịch'!$C$2:$C$3001,A5,'Sổ giao dịch'!$H$2:$H$3001,'Thống kê tháng'!$B$2*100+1)))</f>
        <v/>
      </c>
      <c r="D5" s="10">
        <f>IF(A5="","",IF(B5="Thu",SUMIFS('Sổ giao dịch'!$E$2:$E$3001,'Sổ giao dịch'!$C$2:$C$3001,A5,'Sổ giao dịch'!$H$2:$H$3001,'Thống kê tháng'!$B$2*100+2),SUMIFS('Sổ giao dịch'!$F$2:$F$3001,'Sổ giao dịch'!$C$2:$C$3001,A5,'Sổ giao dịch'!$H$2:$H$3001,'Thống kê tháng'!$B$2*100+2)))</f>
        <v/>
      </c>
      <c r="E5" s="10">
        <f>IF(A5="","",IF(B5="Thu",SUMIFS('Sổ giao dịch'!$E$2:$E$3001,'Sổ giao dịch'!$C$2:$C$3001,A5,'Sổ giao dịch'!$H$2:$H$3001,'Thống kê tháng'!$B$2*100+3),SUMIFS('Sổ giao dịch'!$F$2:$F$3001,'Sổ giao dịch'!$C$2:$C$3001,A5,'Sổ giao dịch'!$H$2:$H$3001,'Thống kê tháng'!$B$2*100+3)))</f>
        <v/>
      </c>
      <c r="F5" s="10">
        <f>IF(A5="","",IF(B5="Thu",SUMIFS('Sổ giao dịch'!$E$2:$E$3001,'Sổ giao dịch'!$C$2:$C$3001,A5,'Sổ giao dịch'!$H$2:$H$3001,'Thống kê tháng'!$B$2*100+4),SUMIFS('Sổ giao dịch'!$F$2:$F$3001,'Sổ giao dịch'!$C$2:$C$3001,A5,'Sổ giao dịch'!$H$2:$H$3001,'Thống kê tháng'!$B$2*100+4)))</f>
        <v/>
      </c>
      <c r="G5" s="10">
        <f>IF(A5="","",IF(B5="Thu",SUMIFS('Sổ giao dịch'!$E$2:$E$3001,'Sổ giao dịch'!$C$2:$C$3001,A5,'Sổ giao dịch'!$H$2:$H$3001,'Thống kê tháng'!$B$2*100+5),SUMIFS('Sổ giao dịch'!$F$2:$F$3001,'Sổ giao dịch'!$C$2:$C$3001,A5,'Sổ giao dịch'!$H$2:$H$3001,'Thống kê tháng'!$B$2*100+5)))</f>
        <v/>
      </c>
      <c r="H5" s="10">
        <f>IF(A5="","",IF(B5="Thu",SUMIFS('Sổ giao dịch'!$E$2:$E$3001,'Sổ giao dịch'!$C$2:$C$3001,A5,'Sổ giao dịch'!$H$2:$H$3001,'Thống kê tháng'!$B$2*100+6),SUMIFS('Sổ giao dịch'!$F$2:$F$3001,'Sổ giao dịch'!$C$2:$C$3001,A5,'Sổ giao dịch'!$H$2:$H$3001,'Thống kê tháng'!$B$2*100+6)))</f>
        <v/>
      </c>
      <c r="I5" s="10">
        <f>IF(A5="","",IF(B5="Thu",SUMIFS('Sổ giao dịch'!$E$2:$E$3001,'Sổ giao dịch'!$C$2:$C$3001,A5,'Sổ giao dịch'!$H$2:$H$3001,'Thống kê tháng'!$B$2*100+7),SUMIFS('Sổ giao dịch'!$F$2:$F$3001,'Sổ giao dịch'!$C$2:$C$3001,A5,'Sổ giao dịch'!$H$2:$H$3001,'Thống kê tháng'!$B$2*100+7)))</f>
        <v/>
      </c>
      <c r="J5" s="10">
        <f>IF(A5="","",IF(B5="Thu",SUMIFS('Sổ giao dịch'!$E$2:$E$3001,'Sổ giao dịch'!$C$2:$C$3001,A5,'Sổ giao dịch'!$H$2:$H$3001,'Thống kê tháng'!$B$2*100+8),SUMIFS('Sổ giao dịch'!$F$2:$F$3001,'Sổ giao dịch'!$C$2:$C$3001,A5,'Sổ giao dịch'!$H$2:$H$3001,'Thống kê tháng'!$B$2*100+8)))</f>
        <v/>
      </c>
      <c r="K5" s="10">
        <f>IF(A5="","",IF(B5="Thu",SUMIFS('Sổ giao dịch'!$E$2:$E$3001,'Sổ giao dịch'!$C$2:$C$3001,A5,'Sổ giao dịch'!$H$2:$H$3001,'Thống kê tháng'!$B$2*100+9),SUMIFS('Sổ giao dịch'!$F$2:$F$3001,'Sổ giao dịch'!$C$2:$C$3001,A5,'Sổ giao dịch'!$H$2:$H$3001,'Thống kê tháng'!$B$2*100+9)))</f>
        <v/>
      </c>
      <c r="L5" s="10">
        <f>IF(A5="","",IF(B5="Thu",SUMIFS('Sổ giao dịch'!$E$2:$E$3001,'Sổ giao dịch'!$C$2:$C$3001,A5,'Sổ giao dịch'!$H$2:$H$3001,'Thống kê tháng'!$B$2*100+10),SUMIFS('Sổ giao dịch'!$F$2:$F$3001,'Sổ giao dịch'!$C$2:$C$3001,A5,'Sổ giao dịch'!$H$2:$H$3001,'Thống kê tháng'!$B$2*100+10)))</f>
        <v/>
      </c>
      <c r="M5" s="10">
        <f>IF(A5="","",IF(B5="Thu",SUMIFS('Sổ giao dịch'!$E$2:$E$3001,'Sổ giao dịch'!$C$2:$C$3001,A5,'Sổ giao dịch'!$H$2:$H$3001,'Thống kê tháng'!$B$2*100+11),SUMIFS('Sổ giao dịch'!$F$2:$F$3001,'Sổ giao dịch'!$C$2:$C$3001,A5,'Sổ giao dịch'!$H$2:$H$3001,'Thống kê tháng'!$B$2*100+11)))</f>
        <v/>
      </c>
      <c r="N5" s="10">
        <f>IF(A5="","",IF(B5="Thu",SUMIFS('Sổ giao dịch'!$E$2:$E$3001,'Sổ giao dịch'!$C$2:$C$3001,A5,'Sổ giao dịch'!$H$2:$H$3001,'Thống kê tháng'!$B$2*100+12),SUMIFS('Sổ giao dịch'!$F$2:$F$3001,'Sổ giao dịch'!$C$2:$C$3001,A5,'Sổ giao dịch'!$H$2:$H$3001,'Thống kê tháng'!$B$2*100+12)))</f>
        <v/>
      </c>
      <c r="O5" s="10">
        <f>IF(A5="","",SUM(C5:N5))</f>
        <v/>
      </c>
      <c r="P5" s="10">
        <f>IF(A5="","",IF('Thống kê tháng'!$B$19=0,0,O5/'Thống kê tháng'!$B$19))</f>
        <v/>
      </c>
      <c r="Q5" s="10">
        <f>IF(OR(A5="",'Danh mục'!C2=""),"",'Danh mục'!C2)</f>
        <v/>
      </c>
      <c r="R5" s="13">
        <f>IF(OR(Q5="",Q5=0),"",P5/Q5)</f>
        <v/>
      </c>
    </row>
    <row r="6">
      <c r="A6" s="16">
        <f>IF('Danh mục'!A3="","",'Danh mục'!A3)</f>
        <v/>
      </c>
      <c r="B6" s="16">
        <f>IF(A6="","",'Danh mục'!B3)</f>
        <v/>
      </c>
      <c r="C6" s="10">
        <f>IF(A6="","",IF(B6="Thu",SUMIFS('Sổ giao dịch'!$E$2:$E$3001,'Sổ giao dịch'!$C$2:$C$3001,A6,'Sổ giao dịch'!$H$2:$H$3001,'Thống kê tháng'!$B$2*100+1),SUMIFS('Sổ giao dịch'!$F$2:$F$3001,'Sổ giao dịch'!$C$2:$C$3001,A6,'Sổ giao dịch'!$H$2:$H$3001,'Thống kê tháng'!$B$2*100+1)))</f>
        <v/>
      </c>
      <c r="D6" s="10">
        <f>IF(A6="","",IF(B6="Thu",SUMIFS('Sổ giao dịch'!$E$2:$E$3001,'Sổ giao dịch'!$C$2:$C$3001,A6,'Sổ giao dịch'!$H$2:$H$3001,'Thống kê tháng'!$B$2*100+2),SUMIFS('Sổ giao dịch'!$F$2:$F$3001,'Sổ giao dịch'!$C$2:$C$3001,A6,'Sổ giao dịch'!$H$2:$H$3001,'Thống kê tháng'!$B$2*100+2)))</f>
        <v/>
      </c>
      <c r="E6" s="10">
        <f>IF(A6="","",IF(B6="Thu",SUMIFS('Sổ giao dịch'!$E$2:$E$3001,'Sổ giao dịch'!$C$2:$C$3001,A6,'Sổ giao dịch'!$H$2:$H$3001,'Thống kê tháng'!$B$2*100+3),SUMIFS('Sổ giao dịch'!$F$2:$F$3001,'Sổ giao dịch'!$C$2:$C$3001,A6,'Sổ giao dịch'!$H$2:$H$3001,'Thống kê tháng'!$B$2*100+3)))</f>
        <v/>
      </c>
      <c r="F6" s="10">
        <f>IF(A6="","",IF(B6="Thu",SUMIFS('Sổ giao dịch'!$E$2:$E$3001,'Sổ giao dịch'!$C$2:$C$3001,A6,'Sổ giao dịch'!$H$2:$H$3001,'Thống kê tháng'!$B$2*100+4),SUMIFS('Sổ giao dịch'!$F$2:$F$3001,'Sổ giao dịch'!$C$2:$C$3001,A6,'Sổ giao dịch'!$H$2:$H$3001,'Thống kê tháng'!$B$2*100+4)))</f>
        <v/>
      </c>
      <c r="G6" s="10">
        <f>IF(A6="","",IF(B6="Thu",SUMIFS('Sổ giao dịch'!$E$2:$E$3001,'Sổ giao dịch'!$C$2:$C$3001,A6,'Sổ giao dịch'!$H$2:$H$3001,'Thống kê tháng'!$B$2*100+5),SUMIFS('Sổ giao dịch'!$F$2:$F$3001,'Sổ giao dịch'!$C$2:$C$3001,A6,'Sổ giao dịch'!$H$2:$H$3001,'Thống kê tháng'!$B$2*100+5)))</f>
        <v/>
      </c>
      <c r="H6" s="10">
        <f>IF(A6="","",IF(B6="Thu",SUMIFS('Sổ giao dịch'!$E$2:$E$3001,'Sổ giao dịch'!$C$2:$C$3001,A6,'Sổ giao dịch'!$H$2:$H$3001,'Thống kê tháng'!$B$2*100+6),SUMIFS('Sổ giao dịch'!$F$2:$F$3001,'Sổ giao dịch'!$C$2:$C$3001,A6,'Sổ giao dịch'!$H$2:$H$3001,'Thống kê tháng'!$B$2*100+6)))</f>
        <v/>
      </c>
      <c r="I6" s="10">
        <f>IF(A6="","",IF(B6="Thu",SUMIFS('Sổ giao dịch'!$E$2:$E$3001,'Sổ giao dịch'!$C$2:$C$3001,A6,'Sổ giao dịch'!$H$2:$H$3001,'Thống kê tháng'!$B$2*100+7),SUMIFS('Sổ giao dịch'!$F$2:$F$3001,'Sổ giao dịch'!$C$2:$C$3001,A6,'Sổ giao dịch'!$H$2:$H$3001,'Thống kê tháng'!$B$2*100+7)))</f>
        <v/>
      </c>
      <c r="J6" s="10">
        <f>IF(A6="","",IF(B6="Thu",SUMIFS('Sổ giao dịch'!$E$2:$E$3001,'Sổ giao dịch'!$C$2:$C$3001,A6,'Sổ giao dịch'!$H$2:$H$3001,'Thống kê tháng'!$B$2*100+8),SUMIFS('Sổ giao dịch'!$F$2:$F$3001,'Sổ giao dịch'!$C$2:$C$3001,A6,'Sổ giao dịch'!$H$2:$H$3001,'Thống kê tháng'!$B$2*100+8)))</f>
        <v/>
      </c>
      <c r="K6" s="10">
        <f>IF(A6="","",IF(B6="Thu",SUMIFS('Sổ giao dịch'!$E$2:$E$3001,'Sổ giao dịch'!$C$2:$C$3001,A6,'Sổ giao dịch'!$H$2:$H$3001,'Thống kê tháng'!$B$2*100+9),SUMIFS('Sổ giao dịch'!$F$2:$F$3001,'Sổ giao dịch'!$C$2:$C$3001,A6,'Sổ giao dịch'!$H$2:$H$3001,'Thống kê tháng'!$B$2*100+9)))</f>
        <v/>
      </c>
      <c r="L6" s="10">
        <f>IF(A6="","",IF(B6="Thu",SUMIFS('Sổ giao dịch'!$E$2:$E$3001,'Sổ giao dịch'!$C$2:$C$3001,A6,'Sổ giao dịch'!$H$2:$H$3001,'Thống kê tháng'!$B$2*100+10),SUMIFS('Sổ giao dịch'!$F$2:$F$3001,'Sổ giao dịch'!$C$2:$C$3001,A6,'Sổ giao dịch'!$H$2:$H$3001,'Thống kê tháng'!$B$2*100+10)))</f>
        <v/>
      </c>
      <c r="M6" s="10">
        <f>IF(A6="","",IF(B6="Thu",SUMIFS('Sổ giao dịch'!$E$2:$E$3001,'Sổ giao dịch'!$C$2:$C$3001,A6,'Sổ giao dịch'!$H$2:$H$3001,'Thống kê tháng'!$B$2*100+11),SUMIFS('Sổ giao dịch'!$F$2:$F$3001,'Sổ giao dịch'!$C$2:$C$3001,A6,'Sổ giao dịch'!$H$2:$H$3001,'Thống kê tháng'!$B$2*100+11)))</f>
        <v/>
      </c>
      <c r="N6" s="10">
        <f>IF(A6="","",IF(B6="Thu",SUMIFS('Sổ giao dịch'!$E$2:$E$3001,'Sổ giao dịch'!$C$2:$C$3001,A6,'Sổ giao dịch'!$H$2:$H$3001,'Thống kê tháng'!$B$2*100+12),SUMIFS('Sổ giao dịch'!$F$2:$F$3001,'Sổ giao dịch'!$C$2:$C$3001,A6,'Sổ giao dịch'!$H$2:$H$3001,'Thống kê tháng'!$B$2*100+12)))</f>
        <v/>
      </c>
      <c r="O6" s="10">
        <f>IF(A6="","",SUM(C6:N6))</f>
        <v/>
      </c>
      <c r="P6" s="10">
        <f>IF(A6="","",IF('Thống kê tháng'!$B$19=0,0,O6/'Thống kê tháng'!$B$19))</f>
        <v/>
      </c>
      <c r="Q6" s="10">
        <f>IF(OR(A6="",'Danh mục'!C3=""),"",'Danh mục'!C3)</f>
        <v/>
      </c>
      <c r="R6" s="13">
        <f>IF(OR(Q6="",Q6=0),"",P6/Q6)</f>
        <v/>
      </c>
    </row>
    <row r="7">
      <c r="A7" s="16">
        <f>IF('Danh mục'!A4="","",'Danh mục'!A4)</f>
        <v/>
      </c>
      <c r="B7" s="16">
        <f>IF(A7="","",'Danh mục'!B4)</f>
        <v/>
      </c>
      <c r="C7" s="10">
        <f>IF(A7="","",IF(B7="Thu",SUMIFS('Sổ giao dịch'!$E$2:$E$3001,'Sổ giao dịch'!$C$2:$C$3001,A7,'Sổ giao dịch'!$H$2:$H$3001,'Thống kê tháng'!$B$2*100+1),SUMIFS('Sổ giao dịch'!$F$2:$F$3001,'Sổ giao dịch'!$C$2:$C$3001,A7,'Sổ giao dịch'!$H$2:$H$3001,'Thống kê tháng'!$B$2*100+1)))</f>
        <v/>
      </c>
      <c r="D7" s="10">
        <f>IF(A7="","",IF(B7="Thu",SUMIFS('Sổ giao dịch'!$E$2:$E$3001,'Sổ giao dịch'!$C$2:$C$3001,A7,'Sổ giao dịch'!$H$2:$H$3001,'Thống kê tháng'!$B$2*100+2),SUMIFS('Sổ giao dịch'!$F$2:$F$3001,'Sổ giao dịch'!$C$2:$C$3001,A7,'Sổ giao dịch'!$H$2:$H$3001,'Thống kê tháng'!$B$2*100+2)))</f>
        <v/>
      </c>
      <c r="E7" s="10">
        <f>IF(A7="","",IF(B7="Thu",SUMIFS('Sổ giao dịch'!$E$2:$E$3001,'Sổ giao dịch'!$C$2:$C$3001,A7,'Sổ giao dịch'!$H$2:$H$3001,'Thống kê tháng'!$B$2*100+3),SUMIFS('Sổ giao dịch'!$F$2:$F$3001,'Sổ giao dịch'!$C$2:$C$3001,A7,'Sổ giao dịch'!$H$2:$H$3001,'Thống kê tháng'!$B$2*100+3)))</f>
        <v/>
      </c>
      <c r="F7" s="10">
        <f>IF(A7="","",IF(B7="Thu",SUMIFS('Sổ giao dịch'!$E$2:$E$3001,'Sổ giao dịch'!$C$2:$C$3001,A7,'Sổ giao dịch'!$H$2:$H$3001,'Thống kê tháng'!$B$2*100+4),SUMIFS('Sổ giao dịch'!$F$2:$F$3001,'Sổ giao dịch'!$C$2:$C$3001,A7,'Sổ giao dịch'!$H$2:$H$3001,'Thống kê tháng'!$B$2*100+4)))</f>
        <v/>
      </c>
      <c r="G7" s="10">
        <f>IF(A7="","",IF(B7="Thu",SUMIFS('Sổ giao dịch'!$E$2:$E$3001,'Sổ giao dịch'!$C$2:$C$3001,A7,'Sổ giao dịch'!$H$2:$H$3001,'Thống kê tháng'!$B$2*100+5),SUMIFS('Sổ giao dịch'!$F$2:$F$3001,'Sổ giao dịch'!$C$2:$C$3001,A7,'Sổ giao dịch'!$H$2:$H$3001,'Thống kê tháng'!$B$2*100+5)))</f>
        <v/>
      </c>
      <c r="H7" s="10">
        <f>IF(A7="","",IF(B7="Thu",SUMIFS('Sổ giao dịch'!$E$2:$E$3001,'Sổ giao dịch'!$C$2:$C$3001,A7,'Sổ giao dịch'!$H$2:$H$3001,'Thống kê tháng'!$B$2*100+6),SUMIFS('Sổ giao dịch'!$F$2:$F$3001,'Sổ giao dịch'!$C$2:$C$3001,A7,'Sổ giao dịch'!$H$2:$H$3001,'Thống kê tháng'!$B$2*100+6)))</f>
        <v/>
      </c>
      <c r="I7" s="10">
        <f>IF(A7="","",IF(B7="Thu",SUMIFS('Sổ giao dịch'!$E$2:$E$3001,'Sổ giao dịch'!$C$2:$C$3001,A7,'Sổ giao dịch'!$H$2:$H$3001,'Thống kê tháng'!$B$2*100+7),SUMIFS('Sổ giao dịch'!$F$2:$F$3001,'Sổ giao dịch'!$C$2:$C$3001,A7,'Sổ giao dịch'!$H$2:$H$3001,'Thống kê tháng'!$B$2*100+7)))</f>
        <v/>
      </c>
      <c r="J7" s="10">
        <f>IF(A7="","",IF(B7="Thu",SUMIFS('Sổ giao dịch'!$E$2:$E$3001,'Sổ giao dịch'!$C$2:$C$3001,A7,'Sổ giao dịch'!$H$2:$H$3001,'Thống kê tháng'!$B$2*100+8),SUMIFS('Sổ giao dịch'!$F$2:$F$3001,'Sổ giao dịch'!$C$2:$C$3001,A7,'Sổ giao dịch'!$H$2:$H$3001,'Thống kê tháng'!$B$2*100+8)))</f>
        <v/>
      </c>
      <c r="K7" s="10">
        <f>IF(A7="","",IF(B7="Thu",SUMIFS('Sổ giao dịch'!$E$2:$E$3001,'Sổ giao dịch'!$C$2:$C$3001,A7,'Sổ giao dịch'!$H$2:$H$3001,'Thống kê tháng'!$B$2*100+9),SUMIFS('Sổ giao dịch'!$F$2:$F$3001,'Sổ giao dịch'!$C$2:$C$3001,A7,'Sổ giao dịch'!$H$2:$H$3001,'Thống kê tháng'!$B$2*100+9)))</f>
        <v/>
      </c>
      <c r="L7" s="10">
        <f>IF(A7="","",IF(B7="Thu",SUMIFS('Sổ giao dịch'!$E$2:$E$3001,'Sổ giao dịch'!$C$2:$C$3001,A7,'Sổ giao dịch'!$H$2:$H$3001,'Thống kê tháng'!$B$2*100+10),SUMIFS('Sổ giao dịch'!$F$2:$F$3001,'Sổ giao dịch'!$C$2:$C$3001,A7,'Sổ giao dịch'!$H$2:$H$3001,'Thống kê tháng'!$B$2*100+10)))</f>
        <v/>
      </c>
      <c r="M7" s="10">
        <f>IF(A7="","",IF(B7="Thu",SUMIFS('Sổ giao dịch'!$E$2:$E$3001,'Sổ giao dịch'!$C$2:$C$3001,A7,'Sổ giao dịch'!$H$2:$H$3001,'Thống kê tháng'!$B$2*100+11),SUMIFS('Sổ giao dịch'!$F$2:$F$3001,'Sổ giao dịch'!$C$2:$C$3001,A7,'Sổ giao dịch'!$H$2:$H$3001,'Thống kê tháng'!$B$2*100+11)))</f>
        <v/>
      </c>
      <c r="N7" s="10">
        <f>IF(A7="","",IF(B7="Thu",SUMIFS('Sổ giao dịch'!$E$2:$E$3001,'Sổ giao dịch'!$C$2:$C$3001,A7,'Sổ giao dịch'!$H$2:$H$3001,'Thống kê tháng'!$B$2*100+12),SUMIFS('Sổ giao dịch'!$F$2:$F$3001,'Sổ giao dịch'!$C$2:$C$3001,A7,'Sổ giao dịch'!$H$2:$H$3001,'Thống kê tháng'!$B$2*100+12)))</f>
        <v/>
      </c>
      <c r="O7" s="10">
        <f>IF(A7="","",SUM(C7:N7))</f>
        <v/>
      </c>
      <c r="P7" s="10">
        <f>IF(A7="","",IF('Thống kê tháng'!$B$19=0,0,O7/'Thống kê tháng'!$B$19))</f>
        <v/>
      </c>
      <c r="Q7" s="10">
        <f>IF(OR(A7="",'Danh mục'!C4=""),"",'Danh mục'!C4)</f>
        <v/>
      </c>
      <c r="R7" s="13">
        <f>IF(OR(Q7="",Q7=0),"",P7/Q7)</f>
        <v/>
      </c>
    </row>
    <row r="8">
      <c r="A8" s="16">
        <f>IF('Danh mục'!A5="","",'Danh mục'!A5)</f>
        <v/>
      </c>
      <c r="B8" s="16">
        <f>IF(A8="","",'Danh mục'!B5)</f>
        <v/>
      </c>
      <c r="C8" s="10">
        <f>IF(A8="","",IF(B8="Thu",SUMIFS('Sổ giao dịch'!$E$2:$E$3001,'Sổ giao dịch'!$C$2:$C$3001,A8,'Sổ giao dịch'!$H$2:$H$3001,'Thống kê tháng'!$B$2*100+1),SUMIFS('Sổ giao dịch'!$F$2:$F$3001,'Sổ giao dịch'!$C$2:$C$3001,A8,'Sổ giao dịch'!$H$2:$H$3001,'Thống kê tháng'!$B$2*100+1)))</f>
        <v/>
      </c>
      <c r="D8" s="10">
        <f>IF(A8="","",IF(B8="Thu",SUMIFS('Sổ giao dịch'!$E$2:$E$3001,'Sổ giao dịch'!$C$2:$C$3001,A8,'Sổ giao dịch'!$H$2:$H$3001,'Thống kê tháng'!$B$2*100+2),SUMIFS('Sổ giao dịch'!$F$2:$F$3001,'Sổ giao dịch'!$C$2:$C$3001,A8,'Sổ giao dịch'!$H$2:$H$3001,'Thống kê tháng'!$B$2*100+2)))</f>
        <v/>
      </c>
      <c r="E8" s="10">
        <f>IF(A8="","",IF(B8="Thu",SUMIFS('Sổ giao dịch'!$E$2:$E$3001,'Sổ giao dịch'!$C$2:$C$3001,A8,'Sổ giao dịch'!$H$2:$H$3001,'Thống kê tháng'!$B$2*100+3),SUMIFS('Sổ giao dịch'!$F$2:$F$3001,'Sổ giao dịch'!$C$2:$C$3001,A8,'Sổ giao dịch'!$H$2:$H$3001,'Thống kê tháng'!$B$2*100+3)))</f>
        <v/>
      </c>
      <c r="F8" s="10">
        <f>IF(A8="","",IF(B8="Thu",SUMIFS('Sổ giao dịch'!$E$2:$E$3001,'Sổ giao dịch'!$C$2:$C$3001,A8,'Sổ giao dịch'!$H$2:$H$3001,'Thống kê tháng'!$B$2*100+4),SUMIFS('Sổ giao dịch'!$F$2:$F$3001,'Sổ giao dịch'!$C$2:$C$3001,A8,'Sổ giao dịch'!$H$2:$H$3001,'Thống kê tháng'!$B$2*100+4)))</f>
        <v/>
      </c>
      <c r="G8" s="10">
        <f>IF(A8="","",IF(B8="Thu",SUMIFS('Sổ giao dịch'!$E$2:$E$3001,'Sổ giao dịch'!$C$2:$C$3001,A8,'Sổ giao dịch'!$H$2:$H$3001,'Thống kê tháng'!$B$2*100+5),SUMIFS('Sổ giao dịch'!$F$2:$F$3001,'Sổ giao dịch'!$C$2:$C$3001,A8,'Sổ giao dịch'!$H$2:$H$3001,'Thống kê tháng'!$B$2*100+5)))</f>
        <v/>
      </c>
      <c r="H8" s="10">
        <f>IF(A8="","",IF(B8="Thu",SUMIFS('Sổ giao dịch'!$E$2:$E$3001,'Sổ giao dịch'!$C$2:$C$3001,A8,'Sổ giao dịch'!$H$2:$H$3001,'Thống kê tháng'!$B$2*100+6),SUMIFS('Sổ giao dịch'!$F$2:$F$3001,'Sổ giao dịch'!$C$2:$C$3001,A8,'Sổ giao dịch'!$H$2:$H$3001,'Thống kê tháng'!$B$2*100+6)))</f>
        <v/>
      </c>
      <c r="I8" s="10">
        <f>IF(A8="","",IF(B8="Thu",SUMIFS('Sổ giao dịch'!$E$2:$E$3001,'Sổ giao dịch'!$C$2:$C$3001,A8,'Sổ giao dịch'!$H$2:$H$3001,'Thống kê tháng'!$B$2*100+7),SUMIFS('Sổ giao dịch'!$F$2:$F$3001,'Sổ giao dịch'!$C$2:$C$3001,A8,'Sổ giao dịch'!$H$2:$H$3001,'Thống kê tháng'!$B$2*100+7)))</f>
        <v/>
      </c>
      <c r="J8" s="10">
        <f>IF(A8="","",IF(B8="Thu",SUMIFS('Sổ giao dịch'!$E$2:$E$3001,'Sổ giao dịch'!$C$2:$C$3001,A8,'Sổ giao dịch'!$H$2:$H$3001,'Thống kê tháng'!$B$2*100+8),SUMIFS('Sổ giao dịch'!$F$2:$F$3001,'Sổ giao dịch'!$C$2:$C$3001,A8,'Sổ giao dịch'!$H$2:$H$3001,'Thống kê tháng'!$B$2*100+8)))</f>
        <v/>
      </c>
      <c r="K8" s="10">
        <f>IF(A8="","",IF(B8="Thu",SUMIFS('Sổ giao dịch'!$E$2:$E$3001,'Sổ giao dịch'!$C$2:$C$3001,A8,'Sổ giao dịch'!$H$2:$H$3001,'Thống kê tháng'!$B$2*100+9),SUMIFS('Sổ giao dịch'!$F$2:$F$3001,'Sổ giao dịch'!$C$2:$C$3001,A8,'Sổ giao dịch'!$H$2:$H$3001,'Thống kê tháng'!$B$2*100+9)))</f>
        <v/>
      </c>
      <c r="L8" s="10">
        <f>IF(A8="","",IF(B8="Thu",SUMIFS('Sổ giao dịch'!$E$2:$E$3001,'Sổ giao dịch'!$C$2:$C$3001,A8,'Sổ giao dịch'!$H$2:$H$3001,'Thống kê tháng'!$B$2*100+10),SUMIFS('Sổ giao dịch'!$F$2:$F$3001,'Sổ giao dịch'!$C$2:$C$3001,A8,'Sổ giao dịch'!$H$2:$H$3001,'Thống kê tháng'!$B$2*100+10)))</f>
        <v/>
      </c>
      <c r="M8" s="10">
        <f>IF(A8="","",IF(B8="Thu",SUMIFS('Sổ giao dịch'!$E$2:$E$3001,'Sổ giao dịch'!$C$2:$C$3001,A8,'Sổ giao dịch'!$H$2:$H$3001,'Thống kê tháng'!$B$2*100+11),SUMIFS('Sổ giao dịch'!$F$2:$F$3001,'Sổ giao dịch'!$C$2:$C$3001,A8,'Sổ giao dịch'!$H$2:$H$3001,'Thống kê tháng'!$B$2*100+11)))</f>
        <v/>
      </c>
      <c r="N8" s="10">
        <f>IF(A8="","",IF(B8="Thu",SUMIFS('Sổ giao dịch'!$E$2:$E$3001,'Sổ giao dịch'!$C$2:$C$3001,A8,'Sổ giao dịch'!$H$2:$H$3001,'Thống kê tháng'!$B$2*100+12),SUMIFS('Sổ giao dịch'!$F$2:$F$3001,'Sổ giao dịch'!$C$2:$C$3001,A8,'Sổ giao dịch'!$H$2:$H$3001,'Thống kê tháng'!$B$2*100+12)))</f>
        <v/>
      </c>
      <c r="O8" s="10">
        <f>IF(A8="","",SUM(C8:N8))</f>
        <v/>
      </c>
      <c r="P8" s="10">
        <f>IF(A8="","",IF('Thống kê tháng'!$B$19=0,0,O8/'Thống kê tháng'!$B$19))</f>
        <v/>
      </c>
      <c r="Q8" s="10">
        <f>IF(OR(A8="",'Danh mục'!C5=""),"",'Danh mục'!C5)</f>
        <v/>
      </c>
      <c r="R8" s="13">
        <f>IF(OR(Q8="",Q8=0),"",P8/Q8)</f>
        <v/>
      </c>
    </row>
    <row r="9">
      <c r="A9" s="16">
        <f>IF('Danh mục'!A6="","",'Danh mục'!A6)</f>
        <v/>
      </c>
      <c r="B9" s="16">
        <f>IF(A9="","",'Danh mục'!B6)</f>
        <v/>
      </c>
      <c r="C9" s="10">
        <f>IF(A9="","",IF(B9="Thu",SUMIFS('Sổ giao dịch'!$E$2:$E$3001,'Sổ giao dịch'!$C$2:$C$3001,A9,'Sổ giao dịch'!$H$2:$H$3001,'Thống kê tháng'!$B$2*100+1),SUMIFS('Sổ giao dịch'!$F$2:$F$3001,'Sổ giao dịch'!$C$2:$C$3001,A9,'Sổ giao dịch'!$H$2:$H$3001,'Thống kê tháng'!$B$2*100+1)))</f>
        <v/>
      </c>
      <c r="D9" s="10">
        <f>IF(A9="","",IF(B9="Thu",SUMIFS('Sổ giao dịch'!$E$2:$E$3001,'Sổ giao dịch'!$C$2:$C$3001,A9,'Sổ giao dịch'!$H$2:$H$3001,'Thống kê tháng'!$B$2*100+2),SUMIFS('Sổ giao dịch'!$F$2:$F$3001,'Sổ giao dịch'!$C$2:$C$3001,A9,'Sổ giao dịch'!$H$2:$H$3001,'Thống kê tháng'!$B$2*100+2)))</f>
        <v/>
      </c>
      <c r="E9" s="10">
        <f>IF(A9="","",IF(B9="Thu",SUMIFS('Sổ giao dịch'!$E$2:$E$3001,'Sổ giao dịch'!$C$2:$C$3001,A9,'Sổ giao dịch'!$H$2:$H$3001,'Thống kê tháng'!$B$2*100+3),SUMIFS('Sổ giao dịch'!$F$2:$F$3001,'Sổ giao dịch'!$C$2:$C$3001,A9,'Sổ giao dịch'!$H$2:$H$3001,'Thống kê tháng'!$B$2*100+3)))</f>
        <v/>
      </c>
      <c r="F9" s="10">
        <f>IF(A9="","",IF(B9="Thu",SUMIFS('Sổ giao dịch'!$E$2:$E$3001,'Sổ giao dịch'!$C$2:$C$3001,A9,'Sổ giao dịch'!$H$2:$H$3001,'Thống kê tháng'!$B$2*100+4),SUMIFS('Sổ giao dịch'!$F$2:$F$3001,'Sổ giao dịch'!$C$2:$C$3001,A9,'Sổ giao dịch'!$H$2:$H$3001,'Thống kê tháng'!$B$2*100+4)))</f>
        <v/>
      </c>
      <c r="G9" s="10">
        <f>IF(A9="","",IF(B9="Thu",SUMIFS('Sổ giao dịch'!$E$2:$E$3001,'Sổ giao dịch'!$C$2:$C$3001,A9,'Sổ giao dịch'!$H$2:$H$3001,'Thống kê tháng'!$B$2*100+5),SUMIFS('Sổ giao dịch'!$F$2:$F$3001,'Sổ giao dịch'!$C$2:$C$3001,A9,'Sổ giao dịch'!$H$2:$H$3001,'Thống kê tháng'!$B$2*100+5)))</f>
        <v/>
      </c>
      <c r="H9" s="10">
        <f>IF(A9="","",IF(B9="Thu",SUMIFS('Sổ giao dịch'!$E$2:$E$3001,'Sổ giao dịch'!$C$2:$C$3001,A9,'Sổ giao dịch'!$H$2:$H$3001,'Thống kê tháng'!$B$2*100+6),SUMIFS('Sổ giao dịch'!$F$2:$F$3001,'Sổ giao dịch'!$C$2:$C$3001,A9,'Sổ giao dịch'!$H$2:$H$3001,'Thống kê tháng'!$B$2*100+6)))</f>
        <v/>
      </c>
      <c r="I9" s="10">
        <f>IF(A9="","",IF(B9="Thu",SUMIFS('Sổ giao dịch'!$E$2:$E$3001,'Sổ giao dịch'!$C$2:$C$3001,A9,'Sổ giao dịch'!$H$2:$H$3001,'Thống kê tháng'!$B$2*100+7),SUMIFS('Sổ giao dịch'!$F$2:$F$3001,'Sổ giao dịch'!$C$2:$C$3001,A9,'Sổ giao dịch'!$H$2:$H$3001,'Thống kê tháng'!$B$2*100+7)))</f>
        <v/>
      </c>
      <c r="J9" s="10">
        <f>IF(A9="","",IF(B9="Thu",SUMIFS('Sổ giao dịch'!$E$2:$E$3001,'Sổ giao dịch'!$C$2:$C$3001,A9,'Sổ giao dịch'!$H$2:$H$3001,'Thống kê tháng'!$B$2*100+8),SUMIFS('Sổ giao dịch'!$F$2:$F$3001,'Sổ giao dịch'!$C$2:$C$3001,A9,'Sổ giao dịch'!$H$2:$H$3001,'Thống kê tháng'!$B$2*100+8)))</f>
        <v/>
      </c>
      <c r="K9" s="10">
        <f>IF(A9="","",IF(B9="Thu",SUMIFS('Sổ giao dịch'!$E$2:$E$3001,'Sổ giao dịch'!$C$2:$C$3001,A9,'Sổ giao dịch'!$H$2:$H$3001,'Thống kê tháng'!$B$2*100+9),SUMIFS('Sổ giao dịch'!$F$2:$F$3001,'Sổ giao dịch'!$C$2:$C$3001,A9,'Sổ giao dịch'!$H$2:$H$3001,'Thống kê tháng'!$B$2*100+9)))</f>
        <v/>
      </c>
      <c r="L9" s="10">
        <f>IF(A9="","",IF(B9="Thu",SUMIFS('Sổ giao dịch'!$E$2:$E$3001,'Sổ giao dịch'!$C$2:$C$3001,A9,'Sổ giao dịch'!$H$2:$H$3001,'Thống kê tháng'!$B$2*100+10),SUMIFS('Sổ giao dịch'!$F$2:$F$3001,'Sổ giao dịch'!$C$2:$C$3001,A9,'Sổ giao dịch'!$H$2:$H$3001,'Thống kê tháng'!$B$2*100+10)))</f>
        <v/>
      </c>
      <c r="M9" s="10">
        <f>IF(A9="","",IF(B9="Thu",SUMIFS('Sổ giao dịch'!$E$2:$E$3001,'Sổ giao dịch'!$C$2:$C$3001,A9,'Sổ giao dịch'!$H$2:$H$3001,'Thống kê tháng'!$B$2*100+11),SUMIFS('Sổ giao dịch'!$F$2:$F$3001,'Sổ giao dịch'!$C$2:$C$3001,A9,'Sổ giao dịch'!$H$2:$H$3001,'Thống kê tháng'!$B$2*100+11)))</f>
        <v/>
      </c>
      <c r="N9" s="10">
        <f>IF(A9="","",IF(B9="Thu",SUMIFS('Sổ giao dịch'!$E$2:$E$3001,'Sổ giao dịch'!$C$2:$C$3001,A9,'Sổ giao dịch'!$H$2:$H$3001,'Thống kê tháng'!$B$2*100+12),SUMIFS('Sổ giao dịch'!$F$2:$F$3001,'Sổ giao dịch'!$C$2:$C$3001,A9,'Sổ giao dịch'!$H$2:$H$3001,'Thống kê tháng'!$B$2*100+12)))</f>
        <v/>
      </c>
      <c r="O9" s="10">
        <f>IF(A9="","",SUM(C9:N9))</f>
        <v/>
      </c>
      <c r="P9" s="10">
        <f>IF(A9="","",IF('Thống kê tháng'!$B$19=0,0,O9/'Thống kê tháng'!$B$19))</f>
        <v/>
      </c>
      <c r="Q9" s="10">
        <f>IF(OR(A9="",'Danh mục'!C6=""),"",'Danh mục'!C6)</f>
        <v/>
      </c>
      <c r="R9" s="13">
        <f>IF(OR(Q9="",Q9=0),"",P9/Q9)</f>
        <v/>
      </c>
    </row>
    <row r="10">
      <c r="A10" s="16">
        <f>IF('Danh mục'!A7="","",'Danh mục'!A7)</f>
        <v/>
      </c>
      <c r="B10" s="16">
        <f>IF(A10="","",'Danh mục'!B7)</f>
        <v/>
      </c>
      <c r="C10" s="10">
        <f>IF(A10="","",IF(B10="Thu",SUMIFS('Sổ giao dịch'!$E$2:$E$3001,'Sổ giao dịch'!$C$2:$C$3001,A10,'Sổ giao dịch'!$H$2:$H$3001,'Thống kê tháng'!$B$2*100+1),SUMIFS('Sổ giao dịch'!$F$2:$F$3001,'Sổ giao dịch'!$C$2:$C$3001,A10,'Sổ giao dịch'!$H$2:$H$3001,'Thống kê tháng'!$B$2*100+1)))</f>
        <v/>
      </c>
      <c r="D10" s="10">
        <f>IF(A10="","",IF(B10="Thu",SUMIFS('Sổ giao dịch'!$E$2:$E$3001,'Sổ giao dịch'!$C$2:$C$3001,A10,'Sổ giao dịch'!$H$2:$H$3001,'Thống kê tháng'!$B$2*100+2),SUMIFS('Sổ giao dịch'!$F$2:$F$3001,'Sổ giao dịch'!$C$2:$C$3001,A10,'Sổ giao dịch'!$H$2:$H$3001,'Thống kê tháng'!$B$2*100+2)))</f>
        <v/>
      </c>
      <c r="E10" s="10">
        <f>IF(A10="","",IF(B10="Thu",SUMIFS('Sổ giao dịch'!$E$2:$E$3001,'Sổ giao dịch'!$C$2:$C$3001,A10,'Sổ giao dịch'!$H$2:$H$3001,'Thống kê tháng'!$B$2*100+3),SUMIFS('Sổ giao dịch'!$F$2:$F$3001,'Sổ giao dịch'!$C$2:$C$3001,A10,'Sổ giao dịch'!$H$2:$H$3001,'Thống kê tháng'!$B$2*100+3)))</f>
        <v/>
      </c>
      <c r="F10" s="10">
        <f>IF(A10="","",IF(B10="Thu",SUMIFS('Sổ giao dịch'!$E$2:$E$3001,'Sổ giao dịch'!$C$2:$C$3001,A10,'Sổ giao dịch'!$H$2:$H$3001,'Thống kê tháng'!$B$2*100+4),SUMIFS('Sổ giao dịch'!$F$2:$F$3001,'Sổ giao dịch'!$C$2:$C$3001,A10,'Sổ giao dịch'!$H$2:$H$3001,'Thống kê tháng'!$B$2*100+4)))</f>
        <v/>
      </c>
      <c r="G10" s="10">
        <f>IF(A10="","",IF(B10="Thu",SUMIFS('Sổ giao dịch'!$E$2:$E$3001,'Sổ giao dịch'!$C$2:$C$3001,A10,'Sổ giao dịch'!$H$2:$H$3001,'Thống kê tháng'!$B$2*100+5),SUMIFS('Sổ giao dịch'!$F$2:$F$3001,'Sổ giao dịch'!$C$2:$C$3001,A10,'Sổ giao dịch'!$H$2:$H$3001,'Thống kê tháng'!$B$2*100+5)))</f>
        <v/>
      </c>
      <c r="H10" s="10">
        <f>IF(A10="","",IF(B10="Thu",SUMIFS('Sổ giao dịch'!$E$2:$E$3001,'Sổ giao dịch'!$C$2:$C$3001,A10,'Sổ giao dịch'!$H$2:$H$3001,'Thống kê tháng'!$B$2*100+6),SUMIFS('Sổ giao dịch'!$F$2:$F$3001,'Sổ giao dịch'!$C$2:$C$3001,A10,'Sổ giao dịch'!$H$2:$H$3001,'Thống kê tháng'!$B$2*100+6)))</f>
        <v/>
      </c>
      <c r="I10" s="10">
        <f>IF(A10="","",IF(B10="Thu",SUMIFS('Sổ giao dịch'!$E$2:$E$3001,'Sổ giao dịch'!$C$2:$C$3001,A10,'Sổ giao dịch'!$H$2:$H$3001,'Thống kê tháng'!$B$2*100+7),SUMIFS('Sổ giao dịch'!$F$2:$F$3001,'Sổ giao dịch'!$C$2:$C$3001,A10,'Sổ giao dịch'!$H$2:$H$3001,'Thống kê tháng'!$B$2*100+7)))</f>
        <v/>
      </c>
      <c r="J10" s="10">
        <f>IF(A10="","",IF(B10="Thu",SUMIFS('Sổ giao dịch'!$E$2:$E$3001,'Sổ giao dịch'!$C$2:$C$3001,A10,'Sổ giao dịch'!$H$2:$H$3001,'Thống kê tháng'!$B$2*100+8),SUMIFS('Sổ giao dịch'!$F$2:$F$3001,'Sổ giao dịch'!$C$2:$C$3001,A10,'Sổ giao dịch'!$H$2:$H$3001,'Thống kê tháng'!$B$2*100+8)))</f>
        <v/>
      </c>
      <c r="K10" s="10">
        <f>IF(A10="","",IF(B10="Thu",SUMIFS('Sổ giao dịch'!$E$2:$E$3001,'Sổ giao dịch'!$C$2:$C$3001,A10,'Sổ giao dịch'!$H$2:$H$3001,'Thống kê tháng'!$B$2*100+9),SUMIFS('Sổ giao dịch'!$F$2:$F$3001,'Sổ giao dịch'!$C$2:$C$3001,A10,'Sổ giao dịch'!$H$2:$H$3001,'Thống kê tháng'!$B$2*100+9)))</f>
        <v/>
      </c>
      <c r="L10" s="10">
        <f>IF(A10="","",IF(B10="Thu",SUMIFS('Sổ giao dịch'!$E$2:$E$3001,'Sổ giao dịch'!$C$2:$C$3001,A10,'Sổ giao dịch'!$H$2:$H$3001,'Thống kê tháng'!$B$2*100+10),SUMIFS('Sổ giao dịch'!$F$2:$F$3001,'Sổ giao dịch'!$C$2:$C$3001,A10,'Sổ giao dịch'!$H$2:$H$3001,'Thống kê tháng'!$B$2*100+10)))</f>
        <v/>
      </c>
      <c r="M10" s="10">
        <f>IF(A10="","",IF(B10="Thu",SUMIFS('Sổ giao dịch'!$E$2:$E$3001,'Sổ giao dịch'!$C$2:$C$3001,A10,'Sổ giao dịch'!$H$2:$H$3001,'Thống kê tháng'!$B$2*100+11),SUMIFS('Sổ giao dịch'!$F$2:$F$3001,'Sổ giao dịch'!$C$2:$C$3001,A10,'Sổ giao dịch'!$H$2:$H$3001,'Thống kê tháng'!$B$2*100+11)))</f>
        <v/>
      </c>
      <c r="N10" s="10">
        <f>IF(A10="","",IF(B10="Thu",SUMIFS('Sổ giao dịch'!$E$2:$E$3001,'Sổ giao dịch'!$C$2:$C$3001,A10,'Sổ giao dịch'!$H$2:$H$3001,'Thống kê tháng'!$B$2*100+12),SUMIFS('Sổ giao dịch'!$F$2:$F$3001,'Sổ giao dịch'!$C$2:$C$3001,A10,'Sổ giao dịch'!$H$2:$H$3001,'Thống kê tháng'!$B$2*100+12)))</f>
        <v/>
      </c>
      <c r="O10" s="10">
        <f>IF(A10="","",SUM(C10:N10))</f>
        <v/>
      </c>
      <c r="P10" s="10">
        <f>IF(A10="","",IF('Thống kê tháng'!$B$19=0,0,O10/'Thống kê tháng'!$B$19))</f>
        <v/>
      </c>
      <c r="Q10" s="10">
        <f>IF(OR(A10="",'Danh mục'!C7=""),"",'Danh mục'!C7)</f>
        <v/>
      </c>
      <c r="R10" s="13">
        <f>IF(OR(Q10="",Q10=0),"",P10/Q10)</f>
        <v/>
      </c>
    </row>
    <row r="11">
      <c r="A11" s="16">
        <f>IF('Danh mục'!A8="","",'Danh mục'!A8)</f>
        <v/>
      </c>
      <c r="B11" s="16">
        <f>IF(A11="","",'Danh mục'!B8)</f>
        <v/>
      </c>
      <c r="C11" s="10">
        <f>IF(A11="","",IF(B11="Thu",SUMIFS('Sổ giao dịch'!$E$2:$E$3001,'Sổ giao dịch'!$C$2:$C$3001,A11,'Sổ giao dịch'!$H$2:$H$3001,'Thống kê tháng'!$B$2*100+1),SUMIFS('Sổ giao dịch'!$F$2:$F$3001,'Sổ giao dịch'!$C$2:$C$3001,A11,'Sổ giao dịch'!$H$2:$H$3001,'Thống kê tháng'!$B$2*100+1)))</f>
        <v/>
      </c>
      <c r="D11" s="10">
        <f>IF(A11="","",IF(B11="Thu",SUMIFS('Sổ giao dịch'!$E$2:$E$3001,'Sổ giao dịch'!$C$2:$C$3001,A11,'Sổ giao dịch'!$H$2:$H$3001,'Thống kê tháng'!$B$2*100+2),SUMIFS('Sổ giao dịch'!$F$2:$F$3001,'Sổ giao dịch'!$C$2:$C$3001,A11,'Sổ giao dịch'!$H$2:$H$3001,'Thống kê tháng'!$B$2*100+2)))</f>
        <v/>
      </c>
      <c r="E11" s="10">
        <f>IF(A11="","",IF(B11="Thu",SUMIFS('Sổ giao dịch'!$E$2:$E$3001,'Sổ giao dịch'!$C$2:$C$3001,A11,'Sổ giao dịch'!$H$2:$H$3001,'Thống kê tháng'!$B$2*100+3),SUMIFS('Sổ giao dịch'!$F$2:$F$3001,'Sổ giao dịch'!$C$2:$C$3001,A11,'Sổ giao dịch'!$H$2:$H$3001,'Thống kê tháng'!$B$2*100+3)))</f>
        <v/>
      </c>
      <c r="F11" s="10">
        <f>IF(A11="","",IF(B11="Thu",SUMIFS('Sổ giao dịch'!$E$2:$E$3001,'Sổ giao dịch'!$C$2:$C$3001,A11,'Sổ giao dịch'!$H$2:$H$3001,'Thống kê tháng'!$B$2*100+4),SUMIFS('Sổ giao dịch'!$F$2:$F$3001,'Sổ giao dịch'!$C$2:$C$3001,A11,'Sổ giao dịch'!$H$2:$H$3001,'Thống kê tháng'!$B$2*100+4)))</f>
        <v/>
      </c>
      <c r="G11" s="10">
        <f>IF(A11="","",IF(B11="Thu",SUMIFS('Sổ giao dịch'!$E$2:$E$3001,'Sổ giao dịch'!$C$2:$C$3001,A11,'Sổ giao dịch'!$H$2:$H$3001,'Thống kê tháng'!$B$2*100+5),SUMIFS('Sổ giao dịch'!$F$2:$F$3001,'Sổ giao dịch'!$C$2:$C$3001,A11,'Sổ giao dịch'!$H$2:$H$3001,'Thống kê tháng'!$B$2*100+5)))</f>
        <v/>
      </c>
      <c r="H11" s="10">
        <f>IF(A11="","",IF(B11="Thu",SUMIFS('Sổ giao dịch'!$E$2:$E$3001,'Sổ giao dịch'!$C$2:$C$3001,A11,'Sổ giao dịch'!$H$2:$H$3001,'Thống kê tháng'!$B$2*100+6),SUMIFS('Sổ giao dịch'!$F$2:$F$3001,'Sổ giao dịch'!$C$2:$C$3001,A11,'Sổ giao dịch'!$H$2:$H$3001,'Thống kê tháng'!$B$2*100+6)))</f>
        <v/>
      </c>
      <c r="I11" s="10">
        <f>IF(A11="","",IF(B11="Thu",SUMIFS('Sổ giao dịch'!$E$2:$E$3001,'Sổ giao dịch'!$C$2:$C$3001,A11,'Sổ giao dịch'!$H$2:$H$3001,'Thống kê tháng'!$B$2*100+7),SUMIFS('Sổ giao dịch'!$F$2:$F$3001,'Sổ giao dịch'!$C$2:$C$3001,A11,'Sổ giao dịch'!$H$2:$H$3001,'Thống kê tháng'!$B$2*100+7)))</f>
        <v/>
      </c>
      <c r="J11" s="10">
        <f>IF(A11="","",IF(B11="Thu",SUMIFS('Sổ giao dịch'!$E$2:$E$3001,'Sổ giao dịch'!$C$2:$C$3001,A11,'Sổ giao dịch'!$H$2:$H$3001,'Thống kê tháng'!$B$2*100+8),SUMIFS('Sổ giao dịch'!$F$2:$F$3001,'Sổ giao dịch'!$C$2:$C$3001,A11,'Sổ giao dịch'!$H$2:$H$3001,'Thống kê tháng'!$B$2*100+8)))</f>
        <v/>
      </c>
      <c r="K11" s="10">
        <f>IF(A11="","",IF(B11="Thu",SUMIFS('Sổ giao dịch'!$E$2:$E$3001,'Sổ giao dịch'!$C$2:$C$3001,A11,'Sổ giao dịch'!$H$2:$H$3001,'Thống kê tháng'!$B$2*100+9),SUMIFS('Sổ giao dịch'!$F$2:$F$3001,'Sổ giao dịch'!$C$2:$C$3001,A11,'Sổ giao dịch'!$H$2:$H$3001,'Thống kê tháng'!$B$2*100+9)))</f>
        <v/>
      </c>
      <c r="L11" s="10">
        <f>IF(A11="","",IF(B11="Thu",SUMIFS('Sổ giao dịch'!$E$2:$E$3001,'Sổ giao dịch'!$C$2:$C$3001,A11,'Sổ giao dịch'!$H$2:$H$3001,'Thống kê tháng'!$B$2*100+10),SUMIFS('Sổ giao dịch'!$F$2:$F$3001,'Sổ giao dịch'!$C$2:$C$3001,A11,'Sổ giao dịch'!$H$2:$H$3001,'Thống kê tháng'!$B$2*100+10)))</f>
        <v/>
      </c>
      <c r="M11" s="10">
        <f>IF(A11="","",IF(B11="Thu",SUMIFS('Sổ giao dịch'!$E$2:$E$3001,'Sổ giao dịch'!$C$2:$C$3001,A11,'Sổ giao dịch'!$H$2:$H$3001,'Thống kê tháng'!$B$2*100+11),SUMIFS('Sổ giao dịch'!$F$2:$F$3001,'Sổ giao dịch'!$C$2:$C$3001,A11,'Sổ giao dịch'!$H$2:$H$3001,'Thống kê tháng'!$B$2*100+11)))</f>
        <v/>
      </c>
      <c r="N11" s="10">
        <f>IF(A11="","",IF(B11="Thu",SUMIFS('Sổ giao dịch'!$E$2:$E$3001,'Sổ giao dịch'!$C$2:$C$3001,A11,'Sổ giao dịch'!$H$2:$H$3001,'Thống kê tháng'!$B$2*100+12),SUMIFS('Sổ giao dịch'!$F$2:$F$3001,'Sổ giao dịch'!$C$2:$C$3001,A11,'Sổ giao dịch'!$H$2:$H$3001,'Thống kê tháng'!$B$2*100+12)))</f>
        <v/>
      </c>
      <c r="O11" s="10">
        <f>IF(A11="","",SUM(C11:N11))</f>
        <v/>
      </c>
      <c r="P11" s="10">
        <f>IF(A11="","",IF('Thống kê tháng'!$B$19=0,0,O11/'Thống kê tháng'!$B$19))</f>
        <v/>
      </c>
      <c r="Q11" s="10">
        <f>IF(OR(A11="",'Danh mục'!C8=""),"",'Danh mục'!C8)</f>
        <v/>
      </c>
      <c r="R11" s="13">
        <f>IF(OR(Q11="",Q11=0),"",P11/Q11)</f>
        <v/>
      </c>
    </row>
    <row r="12">
      <c r="A12" s="16">
        <f>IF('Danh mục'!A9="","",'Danh mục'!A9)</f>
        <v/>
      </c>
      <c r="B12" s="16">
        <f>IF(A12="","",'Danh mục'!B9)</f>
        <v/>
      </c>
      <c r="C12" s="10">
        <f>IF(A12="","",IF(B12="Thu",SUMIFS('Sổ giao dịch'!$E$2:$E$3001,'Sổ giao dịch'!$C$2:$C$3001,A12,'Sổ giao dịch'!$H$2:$H$3001,'Thống kê tháng'!$B$2*100+1),SUMIFS('Sổ giao dịch'!$F$2:$F$3001,'Sổ giao dịch'!$C$2:$C$3001,A12,'Sổ giao dịch'!$H$2:$H$3001,'Thống kê tháng'!$B$2*100+1)))</f>
        <v/>
      </c>
      <c r="D12" s="10">
        <f>IF(A12="","",IF(B12="Thu",SUMIFS('Sổ giao dịch'!$E$2:$E$3001,'Sổ giao dịch'!$C$2:$C$3001,A12,'Sổ giao dịch'!$H$2:$H$3001,'Thống kê tháng'!$B$2*100+2),SUMIFS('Sổ giao dịch'!$F$2:$F$3001,'Sổ giao dịch'!$C$2:$C$3001,A12,'Sổ giao dịch'!$H$2:$H$3001,'Thống kê tháng'!$B$2*100+2)))</f>
        <v/>
      </c>
      <c r="E12" s="10">
        <f>IF(A12="","",IF(B12="Thu",SUMIFS('Sổ giao dịch'!$E$2:$E$3001,'Sổ giao dịch'!$C$2:$C$3001,A12,'Sổ giao dịch'!$H$2:$H$3001,'Thống kê tháng'!$B$2*100+3),SUMIFS('Sổ giao dịch'!$F$2:$F$3001,'Sổ giao dịch'!$C$2:$C$3001,A12,'Sổ giao dịch'!$H$2:$H$3001,'Thống kê tháng'!$B$2*100+3)))</f>
        <v/>
      </c>
      <c r="F12" s="10">
        <f>IF(A12="","",IF(B12="Thu",SUMIFS('Sổ giao dịch'!$E$2:$E$3001,'Sổ giao dịch'!$C$2:$C$3001,A12,'Sổ giao dịch'!$H$2:$H$3001,'Thống kê tháng'!$B$2*100+4),SUMIFS('Sổ giao dịch'!$F$2:$F$3001,'Sổ giao dịch'!$C$2:$C$3001,A12,'Sổ giao dịch'!$H$2:$H$3001,'Thống kê tháng'!$B$2*100+4)))</f>
        <v/>
      </c>
      <c r="G12" s="10">
        <f>IF(A12="","",IF(B12="Thu",SUMIFS('Sổ giao dịch'!$E$2:$E$3001,'Sổ giao dịch'!$C$2:$C$3001,A12,'Sổ giao dịch'!$H$2:$H$3001,'Thống kê tháng'!$B$2*100+5),SUMIFS('Sổ giao dịch'!$F$2:$F$3001,'Sổ giao dịch'!$C$2:$C$3001,A12,'Sổ giao dịch'!$H$2:$H$3001,'Thống kê tháng'!$B$2*100+5)))</f>
        <v/>
      </c>
      <c r="H12" s="10">
        <f>IF(A12="","",IF(B12="Thu",SUMIFS('Sổ giao dịch'!$E$2:$E$3001,'Sổ giao dịch'!$C$2:$C$3001,A12,'Sổ giao dịch'!$H$2:$H$3001,'Thống kê tháng'!$B$2*100+6),SUMIFS('Sổ giao dịch'!$F$2:$F$3001,'Sổ giao dịch'!$C$2:$C$3001,A12,'Sổ giao dịch'!$H$2:$H$3001,'Thống kê tháng'!$B$2*100+6)))</f>
        <v/>
      </c>
      <c r="I12" s="10">
        <f>IF(A12="","",IF(B12="Thu",SUMIFS('Sổ giao dịch'!$E$2:$E$3001,'Sổ giao dịch'!$C$2:$C$3001,A12,'Sổ giao dịch'!$H$2:$H$3001,'Thống kê tháng'!$B$2*100+7),SUMIFS('Sổ giao dịch'!$F$2:$F$3001,'Sổ giao dịch'!$C$2:$C$3001,A12,'Sổ giao dịch'!$H$2:$H$3001,'Thống kê tháng'!$B$2*100+7)))</f>
        <v/>
      </c>
      <c r="J12" s="10">
        <f>IF(A12="","",IF(B12="Thu",SUMIFS('Sổ giao dịch'!$E$2:$E$3001,'Sổ giao dịch'!$C$2:$C$3001,A12,'Sổ giao dịch'!$H$2:$H$3001,'Thống kê tháng'!$B$2*100+8),SUMIFS('Sổ giao dịch'!$F$2:$F$3001,'Sổ giao dịch'!$C$2:$C$3001,A12,'Sổ giao dịch'!$H$2:$H$3001,'Thống kê tháng'!$B$2*100+8)))</f>
        <v/>
      </c>
      <c r="K12" s="10">
        <f>IF(A12="","",IF(B12="Thu",SUMIFS('Sổ giao dịch'!$E$2:$E$3001,'Sổ giao dịch'!$C$2:$C$3001,A12,'Sổ giao dịch'!$H$2:$H$3001,'Thống kê tháng'!$B$2*100+9),SUMIFS('Sổ giao dịch'!$F$2:$F$3001,'Sổ giao dịch'!$C$2:$C$3001,A12,'Sổ giao dịch'!$H$2:$H$3001,'Thống kê tháng'!$B$2*100+9)))</f>
        <v/>
      </c>
      <c r="L12" s="10">
        <f>IF(A12="","",IF(B12="Thu",SUMIFS('Sổ giao dịch'!$E$2:$E$3001,'Sổ giao dịch'!$C$2:$C$3001,A12,'Sổ giao dịch'!$H$2:$H$3001,'Thống kê tháng'!$B$2*100+10),SUMIFS('Sổ giao dịch'!$F$2:$F$3001,'Sổ giao dịch'!$C$2:$C$3001,A12,'Sổ giao dịch'!$H$2:$H$3001,'Thống kê tháng'!$B$2*100+10)))</f>
        <v/>
      </c>
      <c r="M12" s="10">
        <f>IF(A12="","",IF(B12="Thu",SUMIFS('Sổ giao dịch'!$E$2:$E$3001,'Sổ giao dịch'!$C$2:$C$3001,A12,'Sổ giao dịch'!$H$2:$H$3001,'Thống kê tháng'!$B$2*100+11),SUMIFS('Sổ giao dịch'!$F$2:$F$3001,'Sổ giao dịch'!$C$2:$C$3001,A12,'Sổ giao dịch'!$H$2:$H$3001,'Thống kê tháng'!$B$2*100+11)))</f>
        <v/>
      </c>
      <c r="N12" s="10">
        <f>IF(A12="","",IF(B12="Thu",SUMIFS('Sổ giao dịch'!$E$2:$E$3001,'Sổ giao dịch'!$C$2:$C$3001,A12,'Sổ giao dịch'!$H$2:$H$3001,'Thống kê tháng'!$B$2*100+12),SUMIFS('Sổ giao dịch'!$F$2:$F$3001,'Sổ giao dịch'!$C$2:$C$3001,A12,'Sổ giao dịch'!$H$2:$H$3001,'Thống kê tháng'!$B$2*100+12)))</f>
        <v/>
      </c>
      <c r="O12" s="10">
        <f>IF(A12="","",SUM(C12:N12))</f>
        <v/>
      </c>
      <c r="P12" s="10">
        <f>IF(A12="","",IF('Thống kê tháng'!$B$19=0,0,O12/'Thống kê tháng'!$B$19))</f>
        <v/>
      </c>
      <c r="Q12" s="10">
        <f>IF(OR(A12="",'Danh mục'!C9=""),"",'Danh mục'!C9)</f>
        <v/>
      </c>
      <c r="R12" s="13">
        <f>IF(OR(Q12="",Q12=0),"",P12/Q12)</f>
        <v/>
      </c>
    </row>
    <row r="13">
      <c r="A13" s="16">
        <f>IF('Danh mục'!A10="","",'Danh mục'!A10)</f>
        <v/>
      </c>
      <c r="B13" s="16">
        <f>IF(A13="","",'Danh mục'!B10)</f>
        <v/>
      </c>
      <c r="C13" s="10">
        <f>IF(A13="","",IF(B13="Thu",SUMIFS('Sổ giao dịch'!$E$2:$E$3001,'Sổ giao dịch'!$C$2:$C$3001,A13,'Sổ giao dịch'!$H$2:$H$3001,'Thống kê tháng'!$B$2*100+1),SUMIFS('Sổ giao dịch'!$F$2:$F$3001,'Sổ giao dịch'!$C$2:$C$3001,A13,'Sổ giao dịch'!$H$2:$H$3001,'Thống kê tháng'!$B$2*100+1)))</f>
        <v/>
      </c>
      <c r="D13" s="10">
        <f>IF(A13="","",IF(B13="Thu",SUMIFS('Sổ giao dịch'!$E$2:$E$3001,'Sổ giao dịch'!$C$2:$C$3001,A13,'Sổ giao dịch'!$H$2:$H$3001,'Thống kê tháng'!$B$2*100+2),SUMIFS('Sổ giao dịch'!$F$2:$F$3001,'Sổ giao dịch'!$C$2:$C$3001,A13,'Sổ giao dịch'!$H$2:$H$3001,'Thống kê tháng'!$B$2*100+2)))</f>
        <v/>
      </c>
      <c r="E13" s="10">
        <f>IF(A13="","",IF(B13="Thu",SUMIFS('Sổ giao dịch'!$E$2:$E$3001,'Sổ giao dịch'!$C$2:$C$3001,A13,'Sổ giao dịch'!$H$2:$H$3001,'Thống kê tháng'!$B$2*100+3),SUMIFS('Sổ giao dịch'!$F$2:$F$3001,'Sổ giao dịch'!$C$2:$C$3001,A13,'Sổ giao dịch'!$H$2:$H$3001,'Thống kê tháng'!$B$2*100+3)))</f>
        <v/>
      </c>
      <c r="F13" s="10">
        <f>IF(A13="","",IF(B13="Thu",SUMIFS('Sổ giao dịch'!$E$2:$E$3001,'Sổ giao dịch'!$C$2:$C$3001,A13,'Sổ giao dịch'!$H$2:$H$3001,'Thống kê tháng'!$B$2*100+4),SUMIFS('Sổ giao dịch'!$F$2:$F$3001,'Sổ giao dịch'!$C$2:$C$3001,A13,'Sổ giao dịch'!$H$2:$H$3001,'Thống kê tháng'!$B$2*100+4)))</f>
        <v/>
      </c>
      <c r="G13" s="10">
        <f>IF(A13="","",IF(B13="Thu",SUMIFS('Sổ giao dịch'!$E$2:$E$3001,'Sổ giao dịch'!$C$2:$C$3001,A13,'Sổ giao dịch'!$H$2:$H$3001,'Thống kê tháng'!$B$2*100+5),SUMIFS('Sổ giao dịch'!$F$2:$F$3001,'Sổ giao dịch'!$C$2:$C$3001,A13,'Sổ giao dịch'!$H$2:$H$3001,'Thống kê tháng'!$B$2*100+5)))</f>
        <v/>
      </c>
      <c r="H13" s="10">
        <f>IF(A13="","",IF(B13="Thu",SUMIFS('Sổ giao dịch'!$E$2:$E$3001,'Sổ giao dịch'!$C$2:$C$3001,A13,'Sổ giao dịch'!$H$2:$H$3001,'Thống kê tháng'!$B$2*100+6),SUMIFS('Sổ giao dịch'!$F$2:$F$3001,'Sổ giao dịch'!$C$2:$C$3001,A13,'Sổ giao dịch'!$H$2:$H$3001,'Thống kê tháng'!$B$2*100+6)))</f>
        <v/>
      </c>
      <c r="I13" s="10">
        <f>IF(A13="","",IF(B13="Thu",SUMIFS('Sổ giao dịch'!$E$2:$E$3001,'Sổ giao dịch'!$C$2:$C$3001,A13,'Sổ giao dịch'!$H$2:$H$3001,'Thống kê tháng'!$B$2*100+7),SUMIFS('Sổ giao dịch'!$F$2:$F$3001,'Sổ giao dịch'!$C$2:$C$3001,A13,'Sổ giao dịch'!$H$2:$H$3001,'Thống kê tháng'!$B$2*100+7)))</f>
        <v/>
      </c>
      <c r="J13" s="10">
        <f>IF(A13="","",IF(B13="Thu",SUMIFS('Sổ giao dịch'!$E$2:$E$3001,'Sổ giao dịch'!$C$2:$C$3001,A13,'Sổ giao dịch'!$H$2:$H$3001,'Thống kê tháng'!$B$2*100+8),SUMIFS('Sổ giao dịch'!$F$2:$F$3001,'Sổ giao dịch'!$C$2:$C$3001,A13,'Sổ giao dịch'!$H$2:$H$3001,'Thống kê tháng'!$B$2*100+8)))</f>
        <v/>
      </c>
      <c r="K13" s="10">
        <f>IF(A13="","",IF(B13="Thu",SUMIFS('Sổ giao dịch'!$E$2:$E$3001,'Sổ giao dịch'!$C$2:$C$3001,A13,'Sổ giao dịch'!$H$2:$H$3001,'Thống kê tháng'!$B$2*100+9),SUMIFS('Sổ giao dịch'!$F$2:$F$3001,'Sổ giao dịch'!$C$2:$C$3001,A13,'Sổ giao dịch'!$H$2:$H$3001,'Thống kê tháng'!$B$2*100+9)))</f>
        <v/>
      </c>
      <c r="L13" s="10">
        <f>IF(A13="","",IF(B13="Thu",SUMIFS('Sổ giao dịch'!$E$2:$E$3001,'Sổ giao dịch'!$C$2:$C$3001,A13,'Sổ giao dịch'!$H$2:$H$3001,'Thống kê tháng'!$B$2*100+10),SUMIFS('Sổ giao dịch'!$F$2:$F$3001,'Sổ giao dịch'!$C$2:$C$3001,A13,'Sổ giao dịch'!$H$2:$H$3001,'Thống kê tháng'!$B$2*100+10)))</f>
        <v/>
      </c>
      <c r="M13" s="10">
        <f>IF(A13="","",IF(B13="Thu",SUMIFS('Sổ giao dịch'!$E$2:$E$3001,'Sổ giao dịch'!$C$2:$C$3001,A13,'Sổ giao dịch'!$H$2:$H$3001,'Thống kê tháng'!$B$2*100+11),SUMIFS('Sổ giao dịch'!$F$2:$F$3001,'Sổ giao dịch'!$C$2:$C$3001,A13,'Sổ giao dịch'!$H$2:$H$3001,'Thống kê tháng'!$B$2*100+11)))</f>
        <v/>
      </c>
      <c r="N13" s="10">
        <f>IF(A13="","",IF(B13="Thu",SUMIFS('Sổ giao dịch'!$E$2:$E$3001,'Sổ giao dịch'!$C$2:$C$3001,A13,'Sổ giao dịch'!$H$2:$H$3001,'Thống kê tháng'!$B$2*100+12),SUMIFS('Sổ giao dịch'!$F$2:$F$3001,'Sổ giao dịch'!$C$2:$C$3001,A13,'Sổ giao dịch'!$H$2:$H$3001,'Thống kê tháng'!$B$2*100+12)))</f>
        <v/>
      </c>
      <c r="O13" s="10">
        <f>IF(A13="","",SUM(C13:N13))</f>
        <v/>
      </c>
      <c r="P13" s="10">
        <f>IF(A13="","",IF('Thống kê tháng'!$B$19=0,0,O13/'Thống kê tháng'!$B$19))</f>
        <v/>
      </c>
      <c r="Q13" s="10">
        <f>IF(OR(A13="",'Danh mục'!C10=""),"",'Danh mục'!C10)</f>
        <v/>
      </c>
      <c r="R13" s="13">
        <f>IF(OR(Q13="",Q13=0),"",P13/Q13)</f>
        <v/>
      </c>
    </row>
    <row r="14">
      <c r="A14" s="16">
        <f>IF('Danh mục'!A11="","",'Danh mục'!A11)</f>
        <v/>
      </c>
      <c r="B14" s="16">
        <f>IF(A14="","",'Danh mục'!B11)</f>
        <v/>
      </c>
      <c r="C14" s="10">
        <f>IF(A14="","",IF(B14="Thu",SUMIFS('Sổ giao dịch'!$E$2:$E$3001,'Sổ giao dịch'!$C$2:$C$3001,A14,'Sổ giao dịch'!$H$2:$H$3001,'Thống kê tháng'!$B$2*100+1),SUMIFS('Sổ giao dịch'!$F$2:$F$3001,'Sổ giao dịch'!$C$2:$C$3001,A14,'Sổ giao dịch'!$H$2:$H$3001,'Thống kê tháng'!$B$2*100+1)))</f>
        <v/>
      </c>
      <c r="D14" s="10">
        <f>IF(A14="","",IF(B14="Thu",SUMIFS('Sổ giao dịch'!$E$2:$E$3001,'Sổ giao dịch'!$C$2:$C$3001,A14,'Sổ giao dịch'!$H$2:$H$3001,'Thống kê tháng'!$B$2*100+2),SUMIFS('Sổ giao dịch'!$F$2:$F$3001,'Sổ giao dịch'!$C$2:$C$3001,A14,'Sổ giao dịch'!$H$2:$H$3001,'Thống kê tháng'!$B$2*100+2)))</f>
        <v/>
      </c>
      <c r="E14" s="10">
        <f>IF(A14="","",IF(B14="Thu",SUMIFS('Sổ giao dịch'!$E$2:$E$3001,'Sổ giao dịch'!$C$2:$C$3001,A14,'Sổ giao dịch'!$H$2:$H$3001,'Thống kê tháng'!$B$2*100+3),SUMIFS('Sổ giao dịch'!$F$2:$F$3001,'Sổ giao dịch'!$C$2:$C$3001,A14,'Sổ giao dịch'!$H$2:$H$3001,'Thống kê tháng'!$B$2*100+3)))</f>
        <v/>
      </c>
      <c r="F14" s="10">
        <f>IF(A14="","",IF(B14="Thu",SUMIFS('Sổ giao dịch'!$E$2:$E$3001,'Sổ giao dịch'!$C$2:$C$3001,A14,'Sổ giao dịch'!$H$2:$H$3001,'Thống kê tháng'!$B$2*100+4),SUMIFS('Sổ giao dịch'!$F$2:$F$3001,'Sổ giao dịch'!$C$2:$C$3001,A14,'Sổ giao dịch'!$H$2:$H$3001,'Thống kê tháng'!$B$2*100+4)))</f>
        <v/>
      </c>
      <c r="G14" s="10">
        <f>IF(A14="","",IF(B14="Thu",SUMIFS('Sổ giao dịch'!$E$2:$E$3001,'Sổ giao dịch'!$C$2:$C$3001,A14,'Sổ giao dịch'!$H$2:$H$3001,'Thống kê tháng'!$B$2*100+5),SUMIFS('Sổ giao dịch'!$F$2:$F$3001,'Sổ giao dịch'!$C$2:$C$3001,A14,'Sổ giao dịch'!$H$2:$H$3001,'Thống kê tháng'!$B$2*100+5)))</f>
        <v/>
      </c>
      <c r="H14" s="10">
        <f>IF(A14="","",IF(B14="Thu",SUMIFS('Sổ giao dịch'!$E$2:$E$3001,'Sổ giao dịch'!$C$2:$C$3001,A14,'Sổ giao dịch'!$H$2:$H$3001,'Thống kê tháng'!$B$2*100+6),SUMIFS('Sổ giao dịch'!$F$2:$F$3001,'Sổ giao dịch'!$C$2:$C$3001,A14,'Sổ giao dịch'!$H$2:$H$3001,'Thống kê tháng'!$B$2*100+6)))</f>
        <v/>
      </c>
      <c r="I14" s="10">
        <f>IF(A14="","",IF(B14="Thu",SUMIFS('Sổ giao dịch'!$E$2:$E$3001,'Sổ giao dịch'!$C$2:$C$3001,A14,'Sổ giao dịch'!$H$2:$H$3001,'Thống kê tháng'!$B$2*100+7),SUMIFS('Sổ giao dịch'!$F$2:$F$3001,'Sổ giao dịch'!$C$2:$C$3001,A14,'Sổ giao dịch'!$H$2:$H$3001,'Thống kê tháng'!$B$2*100+7)))</f>
        <v/>
      </c>
      <c r="J14" s="10">
        <f>IF(A14="","",IF(B14="Thu",SUMIFS('Sổ giao dịch'!$E$2:$E$3001,'Sổ giao dịch'!$C$2:$C$3001,A14,'Sổ giao dịch'!$H$2:$H$3001,'Thống kê tháng'!$B$2*100+8),SUMIFS('Sổ giao dịch'!$F$2:$F$3001,'Sổ giao dịch'!$C$2:$C$3001,A14,'Sổ giao dịch'!$H$2:$H$3001,'Thống kê tháng'!$B$2*100+8)))</f>
        <v/>
      </c>
      <c r="K14" s="10">
        <f>IF(A14="","",IF(B14="Thu",SUMIFS('Sổ giao dịch'!$E$2:$E$3001,'Sổ giao dịch'!$C$2:$C$3001,A14,'Sổ giao dịch'!$H$2:$H$3001,'Thống kê tháng'!$B$2*100+9),SUMIFS('Sổ giao dịch'!$F$2:$F$3001,'Sổ giao dịch'!$C$2:$C$3001,A14,'Sổ giao dịch'!$H$2:$H$3001,'Thống kê tháng'!$B$2*100+9)))</f>
        <v/>
      </c>
      <c r="L14" s="10">
        <f>IF(A14="","",IF(B14="Thu",SUMIFS('Sổ giao dịch'!$E$2:$E$3001,'Sổ giao dịch'!$C$2:$C$3001,A14,'Sổ giao dịch'!$H$2:$H$3001,'Thống kê tháng'!$B$2*100+10),SUMIFS('Sổ giao dịch'!$F$2:$F$3001,'Sổ giao dịch'!$C$2:$C$3001,A14,'Sổ giao dịch'!$H$2:$H$3001,'Thống kê tháng'!$B$2*100+10)))</f>
        <v/>
      </c>
      <c r="M14" s="10">
        <f>IF(A14="","",IF(B14="Thu",SUMIFS('Sổ giao dịch'!$E$2:$E$3001,'Sổ giao dịch'!$C$2:$C$3001,A14,'Sổ giao dịch'!$H$2:$H$3001,'Thống kê tháng'!$B$2*100+11),SUMIFS('Sổ giao dịch'!$F$2:$F$3001,'Sổ giao dịch'!$C$2:$C$3001,A14,'Sổ giao dịch'!$H$2:$H$3001,'Thống kê tháng'!$B$2*100+11)))</f>
        <v/>
      </c>
      <c r="N14" s="10">
        <f>IF(A14="","",IF(B14="Thu",SUMIFS('Sổ giao dịch'!$E$2:$E$3001,'Sổ giao dịch'!$C$2:$C$3001,A14,'Sổ giao dịch'!$H$2:$H$3001,'Thống kê tháng'!$B$2*100+12),SUMIFS('Sổ giao dịch'!$F$2:$F$3001,'Sổ giao dịch'!$C$2:$C$3001,A14,'Sổ giao dịch'!$H$2:$H$3001,'Thống kê tháng'!$B$2*100+12)))</f>
        <v/>
      </c>
      <c r="O14" s="10">
        <f>IF(A14="","",SUM(C14:N14))</f>
        <v/>
      </c>
      <c r="P14" s="10">
        <f>IF(A14="","",IF('Thống kê tháng'!$B$19=0,0,O14/'Thống kê tháng'!$B$19))</f>
        <v/>
      </c>
      <c r="Q14" s="10">
        <f>IF(OR(A14="",'Danh mục'!C11=""),"",'Danh mục'!C11)</f>
        <v/>
      </c>
      <c r="R14" s="13">
        <f>IF(OR(Q14="",Q14=0),"",P14/Q14)</f>
        <v/>
      </c>
    </row>
    <row r="15">
      <c r="A15" s="16">
        <f>IF('Danh mục'!A12="","",'Danh mục'!A12)</f>
        <v/>
      </c>
      <c r="B15" s="16">
        <f>IF(A15="","",'Danh mục'!B12)</f>
        <v/>
      </c>
      <c r="C15" s="10">
        <f>IF(A15="","",IF(B15="Thu",SUMIFS('Sổ giao dịch'!$E$2:$E$3001,'Sổ giao dịch'!$C$2:$C$3001,A15,'Sổ giao dịch'!$H$2:$H$3001,'Thống kê tháng'!$B$2*100+1),SUMIFS('Sổ giao dịch'!$F$2:$F$3001,'Sổ giao dịch'!$C$2:$C$3001,A15,'Sổ giao dịch'!$H$2:$H$3001,'Thống kê tháng'!$B$2*100+1)))</f>
        <v/>
      </c>
      <c r="D15" s="10">
        <f>IF(A15="","",IF(B15="Thu",SUMIFS('Sổ giao dịch'!$E$2:$E$3001,'Sổ giao dịch'!$C$2:$C$3001,A15,'Sổ giao dịch'!$H$2:$H$3001,'Thống kê tháng'!$B$2*100+2),SUMIFS('Sổ giao dịch'!$F$2:$F$3001,'Sổ giao dịch'!$C$2:$C$3001,A15,'Sổ giao dịch'!$H$2:$H$3001,'Thống kê tháng'!$B$2*100+2)))</f>
        <v/>
      </c>
      <c r="E15" s="10">
        <f>IF(A15="","",IF(B15="Thu",SUMIFS('Sổ giao dịch'!$E$2:$E$3001,'Sổ giao dịch'!$C$2:$C$3001,A15,'Sổ giao dịch'!$H$2:$H$3001,'Thống kê tháng'!$B$2*100+3),SUMIFS('Sổ giao dịch'!$F$2:$F$3001,'Sổ giao dịch'!$C$2:$C$3001,A15,'Sổ giao dịch'!$H$2:$H$3001,'Thống kê tháng'!$B$2*100+3)))</f>
        <v/>
      </c>
      <c r="F15" s="10">
        <f>IF(A15="","",IF(B15="Thu",SUMIFS('Sổ giao dịch'!$E$2:$E$3001,'Sổ giao dịch'!$C$2:$C$3001,A15,'Sổ giao dịch'!$H$2:$H$3001,'Thống kê tháng'!$B$2*100+4),SUMIFS('Sổ giao dịch'!$F$2:$F$3001,'Sổ giao dịch'!$C$2:$C$3001,A15,'Sổ giao dịch'!$H$2:$H$3001,'Thống kê tháng'!$B$2*100+4)))</f>
        <v/>
      </c>
      <c r="G15" s="10">
        <f>IF(A15="","",IF(B15="Thu",SUMIFS('Sổ giao dịch'!$E$2:$E$3001,'Sổ giao dịch'!$C$2:$C$3001,A15,'Sổ giao dịch'!$H$2:$H$3001,'Thống kê tháng'!$B$2*100+5),SUMIFS('Sổ giao dịch'!$F$2:$F$3001,'Sổ giao dịch'!$C$2:$C$3001,A15,'Sổ giao dịch'!$H$2:$H$3001,'Thống kê tháng'!$B$2*100+5)))</f>
        <v/>
      </c>
      <c r="H15" s="10">
        <f>IF(A15="","",IF(B15="Thu",SUMIFS('Sổ giao dịch'!$E$2:$E$3001,'Sổ giao dịch'!$C$2:$C$3001,A15,'Sổ giao dịch'!$H$2:$H$3001,'Thống kê tháng'!$B$2*100+6),SUMIFS('Sổ giao dịch'!$F$2:$F$3001,'Sổ giao dịch'!$C$2:$C$3001,A15,'Sổ giao dịch'!$H$2:$H$3001,'Thống kê tháng'!$B$2*100+6)))</f>
        <v/>
      </c>
      <c r="I15" s="10">
        <f>IF(A15="","",IF(B15="Thu",SUMIFS('Sổ giao dịch'!$E$2:$E$3001,'Sổ giao dịch'!$C$2:$C$3001,A15,'Sổ giao dịch'!$H$2:$H$3001,'Thống kê tháng'!$B$2*100+7),SUMIFS('Sổ giao dịch'!$F$2:$F$3001,'Sổ giao dịch'!$C$2:$C$3001,A15,'Sổ giao dịch'!$H$2:$H$3001,'Thống kê tháng'!$B$2*100+7)))</f>
        <v/>
      </c>
      <c r="J15" s="10">
        <f>IF(A15="","",IF(B15="Thu",SUMIFS('Sổ giao dịch'!$E$2:$E$3001,'Sổ giao dịch'!$C$2:$C$3001,A15,'Sổ giao dịch'!$H$2:$H$3001,'Thống kê tháng'!$B$2*100+8),SUMIFS('Sổ giao dịch'!$F$2:$F$3001,'Sổ giao dịch'!$C$2:$C$3001,A15,'Sổ giao dịch'!$H$2:$H$3001,'Thống kê tháng'!$B$2*100+8)))</f>
        <v/>
      </c>
      <c r="K15" s="10">
        <f>IF(A15="","",IF(B15="Thu",SUMIFS('Sổ giao dịch'!$E$2:$E$3001,'Sổ giao dịch'!$C$2:$C$3001,A15,'Sổ giao dịch'!$H$2:$H$3001,'Thống kê tháng'!$B$2*100+9),SUMIFS('Sổ giao dịch'!$F$2:$F$3001,'Sổ giao dịch'!$C$2:$C$3001,A15,'Sổ giao dịch'!$H$2:$H$3001,'Thống kê tháng'!$B$2*100+9)))</f>
        <v/>
      </c>
      <c r="L15" s="10">
        <f>IF(A15="","",IF(B15="Thu",SUMIFS('Sổ giao dịch'!$E$2:$E$3001,'Sổ giao dịch'!$C$2:$C$3001,A15,'Sổ giao dịch'!$H$2:$H$3001,'Thống kê tháng'!$B$2*100+10),SUMIFS('Sổ giao dịch'!$F$2:$F$3001,'Sổ giao dịch'!$C$2:$C$3001,A15,'Sổ giao dịch'!$H$2:$H$3001,'Thống kê tháng'!$B$2*100+10)))</f>
        <v/>
      </c>
      <c r="M15" s="10">
        <f>IF(A15="","",IF(B15="Thu",SUMIFS('Sổ giao dịch'!$E$2:$E$3001,'Sổ giao dịch'!$C$2:$C$3001,A15,'Sổ giao dịch'!$H$2:$H$3001,'Thống kê tháng'!$B$2*100+11),SUMIFS('Sổ giao dịch'!$F$2:$F$3001,'Sổ giao dịch'!$C$2:$C$3001,A15,'Sổ giao dịch'!$H$2:$H$3001,'Thống kê tháng'!$B$2*100+11)))</f>
        <v/>
      </c>
      <c r="N15" s="10">
        <f>IF(A15="","",IF(B15="Thu",SUMIFS('Sổ giao dịch'!$E$2:$E$3001,'Sổ giao dịch'!$C$2:$C$3001,A15,'Sổ giao dịch'!$H$2:$H$3001,'Thống kê tháng'!$B$2*100+12),SUMIFS('Sổ giao dịch'!$F$2:$F$3001,'Sổ giao dịch'!$C$2:$C$3001,A15,'Sổ giao dịch'!$H$2:$H$3001,'Thống kê tháng'!$B$2*100+12)))</f>
        <v/>
      </c>
      <c r="O15" s="10">
        <f>IF(A15="","",SUM(C15:N15))</f>
        <v/>
      </c>
      <c r="P15" s="10">
        <f>IF(A15="","",IF('Thống kê tháng'!$B$19=0,0,O15/'Thống kê tháng'!$B$19))</f>
        <v/>
      </c>
      <c r="Q15" s="10">
        <f>IF(OR(A15="",'Danh mục'!C12=""),"",'Danh mục'!C12)</f>
        <v/>
      </c>
      <c r="R15" s="13">
        <f>IF(OR(Q15="",Q15=0),"",P15/Q15)</f>
        <v/>
      </c>
    </row>
    <row r="16">
      <c r="A16" s="16">
        <f>IF('Danh mục'!A13="","",'Danh mục'!A13)</f>
        <v/>
      </c>
      <c r="B16" s="16">
        <f>IF(A16="","",'Danh mục'!B13)</f>
        <v/>
      </c>
      <c r="C16" s="10">
        <f>IF(A16="","",IF(B16="Thu",SUMIFS('Sổ giao dịch'!$E$2:$E$3001,'Sổ giao dịch'!$C$2:$C$3001,A16,'Sổ giao dịch'!$H$2:$H$3001,'Thống kê tháng'!$B$2*100+1),SUMIFS('Sổ giao dịch'!$F$2:$F$3001,'Sổ giao dịch'!$C$2:$C$3001,A16,'Sổ giao dịch'!$H$2:$H$3001,'Thống kê tháng'!$B$2*100+1)))</f>
        <v/>
      </c>
      <c r="D16" s="10">
        <f>IF(A16="","",IF(B16="Thu",SUMIFS('Sổ giao dịch'!$E$2:$E$3001,'Sổ giao dịch'!$C$2:$C$3001,A16,'Sổ giao dịch'!$H$2:$H$3001,'Thống kê tháng'!$B$2*100+2),SUMIFS('Sổ giao dịch'!$F$2:$F$3001,'Sổ giao dịch'!$C$2:$C$3001,A16,'Sổ giao dịch'!$H$2:$H$3001,'Thống kê tháng'!$B$2*100+2)))</f>
        <v/>
      </c>
      <c r="E16" s="10">
        <f>IF(A16="","",IF(B16="Thu",SUMIFS('Sổ giao dịch'!$E$2:$E$3001,'Sổ giao dịch'!$C$2:$C$3001,A16,'Sổ giao dịch'!$H$2:$H$3001,'Thống kê tháng'!$B$2*100+3),SUMIFS('Sổ giao dịch'!$F$2:$F$3001,'Sổ giao dịch'!$C$2:$C$3001,A16,'Sổ giao dịch'!$H$2:$H$3001,'Thống kê tháng'!$B$2*100+3)))</f>
        <v/>
      </c>
      <c r="F16" s="10">
        <f>IF(A16="","",IF(B16="Thu",SUMIFS('Sổ giao dịch'!$E$2:$E$3001,'Sổ giao dịch'!$C$2:$C$3001,A16,'Sổ giao dịch'!$H$2:$H$3001,'Thống kê tháng'!$B$2*100+4),SUMIFS('Sổ giao dịch'!$F$2:$F$3001,'Sổ giao dịch'!$C$2:$C$3001,A16,'Sổ giao dịch'!$H$2:$H$3001,'Thống kê tháng'!$B$2*100+4)))</f>
        <v/>
      </c>
      <c r="G16" s="10">
        <f>IF(A16="","",IF(B16="Thu",SUMIFS('Sổ giao dịch'!$E$2:$E$3001,'Sổ giao dịch'!$C$2:$C$3001,A16,'Sổ giao dịch'!$H$2:$H$3001,'Thống kê tháng'!$B$2*100+5),SUMIFS('Sổ giao dịch'!$F$2:$F$3001,'Sổ giao dịch'!$C$2:$C$3001,A16,'Sổ giao dịch'!$H$2:$H$3001,'Thống kê tháng'!$B$2*100+5)))</f>
        <v/>
      </c>
      <c r="H16" s="10">
        <f>IF(A16="","",IF(B16="Thu",SUMIFS('Sổ giao dịch'!$E$2:$E$3001,'Sổ giao dịch'!$C$2:$C$3001,A16,'Sổ giao dịch'!$H$2:$H$3001,'Thống kê tháng'!$B$2*100+6),SUMIFS('Sổ giao dịch'!$F$2:$F$3001,'Sổ giao dịch'!$C$2:$C$3001,A16,'Sổ giao dịch'!$H$2:$H$3001,'Thống kê tháng'!$B$2*100+6)))</f>
        <v/>
      </c>
      <c r="I16" s="10">
        <f>IF(A16="","",IF(B16="Thu",SUMIFS('Sổ giao dịch'!$E$2:$E$3001,'Sổ giao dịch'!$C$2:$C$3001,A16,'Sổ giao dịch'!$H$2:$H$3001,'Thống kê tháng'!$B$2*100+7),SUMIFS('Sổ giao dịch'!$F$2:$F$3001,'Sổ giao dịch'!$C$2:$C$3001,A16,'Sổ giao dịch'!$H$2:$H$3001,'Thống kê tháng'!$B$2*100+7)))</f>
        <v/>
      </c>
      <c r="J16" s="10">
        <f>IF(A16="","",IF(B16="Thu",SUMIFS('Sổ giao dịch'!$E$2:$E$3001,'Sổ giao dịch'!$C$2:$C$3001,A16,'Sổ giao dịch'!$H$2:$H$3001,'Thống kê tháng'!$B$2*100+8),SUMIFS('Sổ giao dịch'!$F$2:$F$3001,'Sổ giao dịch'!$C$2:$C$3001,A16,'Sổ giao dịch'!$H$2:$H$3001,'Thống kê tháng'!$B$2*100+8)))</f>
        <v/>
      </c>
      <c r="K16" s="10">
        <f>IF(A16="","",IF(B16="Thu",SUMIFS('Sổ giao dịch'!$E$2:$E$3001,'Sổ giao dịch'!$C$2:$C$3001,A16,'Sổ giao dịch'!$H$2:$H$3001,'Thống kê tháng'!$B$2*100+9),SUMIFS('Sổ giao dịch'!$F$2:$F$3001,'Sổ giao dịch'!$C$2:$C$3001,A16,'Sổ giao dịch'!$H$2:$H$3001,'Thống kê tháng'!$B$2*100+9)))</f>
        <v/>
      </c>
      <c r="L16" s="10">
        <f>IF(A16="","",IF(B16="Thu",SUMIFS('Sổ giao dịch'!$E$2:$E$3001,'Sổ giao dịch'!$C$2:$C$3001,A16,'Sổ giao dịch'!$H$2:$H$3001,'Thống kê tháng'!$B$2*100+10),SUMIFS('Sổ giao dịch'!$F$2:$F$3001,'Sổ giao dịch'!$C$2:$C$3001,A16,'Sổ giao dịch'!$H$2:$H$3001,'Thống kê tháng'!$B$2*100+10)))</f>
        <v/>
      </c>
      <c r="M16" s="10">
        <f>IF(A16="","",IF(B16="Thu",SUMIFS('Sổ giao dịch'!$E$2:$E$3001,'Sổ giao dịch'!$C$2:$C$3001,A16,'Sổ giao dịch'!$H$2:$H$3001,'Thống kê tháng'!$B$2*100+11),SUMIFS('Sổ giao dịch'!$F$2:$F$3001,'Sổ giao dịch'!$C$2:$C$3001,A16,'Sổ giao dịch'!$H$2:$H$3001,'Thống kê tháng'!$B$2*100+11)))</f>
        <v/>
      </c>
      <c r="N16" s="10">
        <f>IF(A16="","",IF(B16="Thu",SUMIFS('Sổ giao dịch'!$E$2:$E$3001,'Sổ giao dịch'!$C$2:$C$3001,A16,'Sổ giao dịch'!$H$2:$H$3001,'Thống kê tháng'!$B$2*100+12),SUMIFS('Sổ giao dịch'!$F$2:$F$3001,'Sổ giao dịch'!$C$2:$C$3001,A16,'Sổ giao dịch'!$H$2:$H$3001,'Thống kê tháng'!$B$2*100+12)))</f>
        <v/>
      </c>
      <c r="O16" s="10">
        <f>IF(A16="","",SUM(C16:N16))</f>
        <v/>
      </c>
      <c r="P16" s="10">
        <f>IF(A16="","",IF('Thống kê tháng'!$B$19=0,0,O16/'Thống kê tháng'!$B$19))</f>
        <v/>
      </c>
      <c r="Q16" s="10">
        <f>IF(OR(A16="",'Danh mục'!C13=""),"",'Danh mục'!C13)</f>
        <v/>
      </c>
      <c r="R16" s="13">
        <f>IF(OR(Q16="",Q16=0),"",P16/Q16)</f>
        <v/>
      </c>
    </row>
    <row r="17">
      <c r="A17" s="16">
        <f>IF('Danh mục'!A14="","",'Danh mục'!A14)</f>
        <v/>
      </c>
      <c r="B17" s="16">
        <f>IF(A17="","",'Danh mục'!B14)</f>
        <v/>
      </c>
      <c r="C17" s="10">
        <f>IF(A17="","",IF(B17="Thu",SUMIFS('Sổ giao dịch'!$E$2:$E$3001,'Sổ giao dịch'!$C$2:$C$3001,A17,'Sổ giao dịch'!$H$2:$H$3001,'Thống kê tháng'!$B$2*100+1),SUMIFS('Sổ giao dịch'!$F$2:$F$3001,'Sổ giao dịch'!$C$2:$C$3001,A17,'Sổ giao dịch'!$H$2:$H$3001,'Thống kê tháng'!$B$2*100+1)))</f>
        <v/>
      </c>
      <c r="D17" s="10">
        <f>IF(A17="","",IF(B17="Thu",SUMIFS('Sổ giao dịch'!$E$2:$E$3001,'Sổ giao dịch'!$C$2:$C$3001,A17,'Sổ giao dịch'!$H$2:$H$3001,'Thống kê tháng'!$B$2*100+2),SUMIFS('Sổ giao dịch'!$F$2:$F$3001,'Sổ giao dịch'!$C$2:$C$3001,A17,'Sổ giao dịch'!$H$2:$H$3001,'Thống kê tháng'!$B$2*100+2)))</f>
        <v/>
      </c>
      <c r="E17" s="10">
        <f>IF(A17="","",IF(B17="Thu",SUMIFS('Sổ giao dịch'!$E$2:$E$3001,'Sổ giao dịch'!$C$2:$C$3001,A17,'Sổ giao dịch'!$H$2:$H$3001,'Thống kê tháng'!$B$2*100+3),SUMIFS('Sổ giao dịch'!$F$2:$F$3001,'Sổ giao dịch'!$C$2:$C$3001,A17,'Sổ giao dịch'!$H$2:$H$3001,'Thống kê tháng'!$B$2*100+3)))</f>
        <v/>
      </c>
      <c r="F17" s="10">
        <f>IF(A17="","",IF(B17="Thu",SUMIFS('Sổ giao dịch'!$E$2:$E$3001,'Sổ giao dịch'!$C$2:$C$3001,A17,'Sổ giao dịch'!$H$2:$H$3001,'Thống kê tháng'!$B$2*100+4),SUMIFS('Sổ giao dịch'!$F$2:$F$3001,'Sổ giao dịch'!$C$2:$C$3001,A17,'Sổ giao dịch'!$H$2:$H$3001,'Thống kê tháng'!$B$2*100+4)))</f>
        <v/>
      </c>
      <c r="G17" s="10">
        <f>IF(A17="","",IF(B17="Thu",SUMIFS('Sổ giao dịch'!$E$2:$E$3001,'Sổ giao dịch'!$C$2:$C$3001,A17,'Sổ giao dịch'!$H$2:$H$3001,'Thống kê tháng'!$B$2*100+5),SUMIFS('Sổ giao dịch'!$F$2:$F$3001,'Sổ giao dịch'!$C$2:$C$3001,A17,'Sổ giao dịch'!$H$2:$H$3001,'Thống kê tháng'!$B$2*100+5)))</f>
        <v/>
      </c>
      <c r="H17" s="10">
        <f>IF(A17="","",IF(B17="Thu",SUMIFS('Sổ giao dịch'!$E$2:$E$3001,'Sổ giao dịch'!$C$2:$C$3001,A17,'Sổ giao dịch'!$H$2:$H$3001,'Thống kê tháng'!$B$2*100+6),SUMIFS('Sổ giao dịch'!$F$2:$F$3001,'Sổ giao dịch'!$C$2:$C$3001,A17,'Sổ giao dịch'!$H$2:$H$3001,'Thống kê tháng'!$B$2*100+6)))</f>
        <v/>
      </c>
      <c r="I17" s="10">
        <f>IF(A17="","",IF(B17="Thu",SUMIFS('Sổ giao dịch'!$E$2:$E$3001,'Sổ giao dịch'!$C$2:$C$3001,A17,'Sổ giao dịch'!$H$2:$H$3001,'Thống kê tháng'!$B$2*100+7),SUMIFS('Sổ giao dịch'!$F$2:$F$3001,'Sổ giao dịch'!$C$2:$C$3001,A17,'Sổ giao dịch'!$H$2:$H$3001,'Thống kê tháng'!$B$2*100+7)))</f>
        <v/>
      </c>
      <c r="J17" s="10">
        <f>IF(A17="","",IF(B17="Thu",SUMIFS('Sổ giao dịch'!$E$2:$E$3001,'Sổ giao dịch'!$C$2:$C$3001,A17,'Sổ giao dịch'!$H$2:$H$3001,'Thống kê tháng'!$B$2*100+8),SUMIFS('Sổ giao dịch'!$F$2:$F$3001,'Sổ giao dịch'!$C$2:$C$3001,A17,'Sổ giao dịch'!$H$2:$H$3001,'Thống kê tháng'!$B$2*100+8)))</f>
        <v/>
      </c>
      <c r="K17" s="10">
        <f>IF(A17="","",IF(B17="Thu",SUMIFS('Sổ giao dịch'!$E$2:$E$3001,'Sổ giao dịch'!$C$2:$C$3001,A17,'Sổ giao dịch'!$H$2:$H$3001,'Thống kê tháng'!$B$2*100+9),SUMIFS('Sổ giao dịch'!$F$2:$F$3001,'Sổ giao dịch'!$C$2:$C$3001,A17,'Sổ giao dịch'!$H$2:$H$3001,'Thống kê tháng'!$B$2*100+9)))</f>
        <v/>
      </c>
      <c r="L17" s="10">
        <f>IF(A17="","",IF(B17="Thu",SUMIFS('Sổ giao dịch'!$E$2:$E$3001,'Sổ giao dịch'!$C$2:$C$3001,A17,'Sổ giao dịch'!$H$2:$H$3001,'Thống kê tháng'!$B$2*100+10),SUMIFS('Sổ giao dịch'!$F$2:$F$3001,'Sổ giao dịch'!$C$2:$C$3001,A17,'Sổ giao dịch'!$H$2:$H$3001,'Thống kê tháng'!$B$2*100+10)))</f>
        <v/>
      </c>
      <c r="M17" s="10">
        <f>IF(A17="","",IF(B17="Thu",SUMIFS('Sổ giao dịch'!$E$2:$E$3001,'Sổ giao dịch'!$C$2:$C$3001,A17,'Sổ giao dịch'!$H$2:$H$3001,'Thống kê tháng'!$B$2*100+11),SUMIFS('Sổ giao dịch'!$F$2:$F$3001,'Sổ giao dịch'!$C$2:$C$3001,A17,'Sổ giao dịch'!$H$2:$H$3001,'Thống kê tháng'!$B$2*100+11)))</f>
        <v/>
      </c>
      <c r="N17" s="10">
        <f>IF(A17="","",IF(B17="Thu",SUMIFS('Sổ giao dịch'!$E$2:$E$3001,'Sổ giao dịch'!$C$2:$C$3001,A17,'Sổ giao dịch'!$H$2:$H$3001,'Thống kê tháng'!$B$2*100+12),SUMIFS('Sổ giao dịch'!$F$2:$F$3001,'Sổ giao dịch'!$C$2:$C$3001,A17,'Sổ giao dịch'!$H$2:$H$3001,'Thống kê tháng'!$B$2*100+12)))</f>
        <v/>
      </c>
      <c r="O17" s="10">
        <f>IF(A17="","",SUM(C17:N17))</f>
        <v/>
      </c>
      <c r="P17" s="10">
        <f>IF(A17="","",IF('Thống kê tháng'!$B$19=0,0,O17/'Thống kê tháng'!$B$19))</f>
        <v/>
      </c>
      <c r="Q17" s="10">
        <f>IF(OR(A17="",'Danh mục'!C14=""),"",'Danh mục'!C14)</f>
        <v/>
      </c>
      <c r="R17" s="13">
        <f>IF(OR(Q17="",Q17=0),"",P17/Q17)</f>
        <v/>
      </c>
    </row>
    <row r="18">
      <c r="A18" s="16">
        <f>IF('Danh mục'!A15="","",'Danh mục'!A15)</f>
        <v/>
      </c>
      <c r="B18" s="16">
        <f>IF(A18="","",'Danh mục'!B15)</f>
        <v/>
      </c>
      <c r="C18" s="10">
        <f>IF(A18="","",IF(B18="Thu",SUMIFS('Sổ giao dịch'!$E$2:$E$3001,'Sổ giao dịch'!$C$2:$C$3001,A18,'Sổ giao dịch'!$H$2:$H$3001,'Thống kê tháng'!$B$2*100+1),SUMIFS('Sổ giao dịch'!$F$2:$F$3001,'Sổ giao dịch'!$C$2:$C$3001,A18,'Sổ giao dịch'!$H$2:$H$3001,'Thống kê tháng'!$B$2*100+1)))</f>
        <v/>
      </c>
      <c r="D18" s="10">
        <f>IF(A18="","",IF(B18="Thu",SUMIFS('Sổ giao dịch'!$E$2:$E$3001,'Sổ giao dịch'!$C$2:$C$3001,A18,'Sổ giao dịch'!$H$2:$H$3001,'Thống kê tháng'!$B$2*100+2),SUMIFS('Sổ giao dịch'!$F$2:$F$3001,'Sổ giao dịch'!$C$2:$C$3001,A18,'Sổ giao dịch'!$H$2:$H$3001,'Thống kê tháng'!$B$2*100+2)))</f>
        <v/>
      </c>
      <c r="E18" s="10">
        <f>IF(A18="","",IF(B18="Thu",SUMIFS('Sổ giao dịch'!$E$2:$E$3001,'Sổ giao dịch'!$C$2:$C$3001,A18,'Sổ giao dịch'!$H$2:$H$3001,'Thống kê tháng'!$B$2*100+3),SUMIFS('Sổ giao dịch'!$F$2:$F$3001,'Sổ giao dịch'!$C$2:$C$3001,A18,'Sổ giao dịch'!$H$2:$H$3001,'Thống kê tháng'!$B$2*100+3)))</f>
        <v/>
      </c>
      <c r="F18" s="10">
        <f>IF(A18="","",IF(B18="Thu",SUMIFS('Sổ giao dịch'!$E$2:$E$3001,'Sổ giao dịch'!$C$2:$C$3001,A18,'Sổ giao dịch'!$H$2:$H$3001,'Thống kê tháng'!$B$2*100+4),SUMIFS('Sổ giao dịch'!$F$2:$F$3001,'Sổ giao dịch'!$C$2:$C$3001,A18,'Sổ giao dịch'!$H$2:$H$3001,'Thống kê tháng'!$B$2*100+4)))</f>
        <v/>
      </c>
      <c r="G18" s="10">
        <f>IF(A18="","",IF(B18="Thu",SUMIFS('Sổ giao dịch'!$E$2:$E$3001,'Sổ giao dịch'!$C$2:$C$3001,A18,'Sổ giao dịch'!$H$2:$H$3001,'Thống kê tháng'!$B$2*100+5),SUMIFS('Sổ giao dịch'!$F$2:$F$3001,'Sổ giao dịch'!$C$2:$C$3001,A18,'Sổ giao dịch'!$H$2:$H$3001,'Thống kê tháng'!$B$2*100+5)))</f>
        <v/>
      </c>
      <c r="H18" s="10">
        <f>IF(A18="","",IF(B18="Thu",SUMIFS('Sổ giao dịch'!$E$2:$E$3001,'Sổ giao dịch'!$C$2:$C$3001,A18,'Sổ giao dịch'!$H$2:$H$3001,'Thống kê tháng'!$B$2*100+6),SUMIFS('Sổ giao dịch'!$F$2:$F$3001,'Sổ giao dịch'!$C$2:$C$3001,A18,'Sổ giao dịch'!$H$2:$H$3001,'Thống kê tháng'!$B$2*100+6)))</f>
        <v/>
      </c>
      <c r="I18" s="10">
        <f>IF(A18="","",IF(B18="Thu",SUMIFS('Sổ giao dịch'!$E$2:$E$3001,'Sổ giao dịch'!$C$2:$C$3001,A18,'Sổ giao dịch'!$H$2:$H$3001,'Thống kê tháng'!$B$2*100+7),SUMIFS('Sổ giao dịch'!$F$2:$F$3001,'Sổ giao dịch'!$C$2:$C$3001,A18,'Sổ giao dịch'!$H$2:$H$3001,'Thống kê tháng'!$B$2*100+7)))</f>
        <v/>
      </c>
      <c r="J18" s="10">
        <f>IF(A18="","",IF(B18="Thu",SUMIFS('Sổ giao dịch'!$E$2:$E$3001,'Sổ giao dịch'!$C$2:$C$3001,A18,'Sổ giao dịch'!$H$2:$H$3001,'Thống kê tháng'!$B$2*100+8),SUMIFS('Sổ giao dịch'!$F$2:$F$3001,'Sổ giao dịch'!$C$2:$C$3001,A18,'Sổ giao dịch'!$H$2:$H$3001,'Thống kê tháng'!$B$2*100+8)))</f>
        <v/>
      </c>
      <c r="K18" s="10">
        <f>IF(A18="","",IF(B18="Thu",SUMIFS('Sổ giao dịch'!$E$2:$E$3001,'Sổ giao dịch'!$C$2:$C$3001,A18,'Sổ giao dịch'!$H$2:$H$3001,'Thống kê tháng'!$B$2*100+9),SUMIFS('Sổ giao dịch'!$F$2:$F$3001,'Sổ giao dịch'!$C$2:$C$3001,A18,'Sổ giao dịch'!$H$2:$H$3001,'Thống kê tháng'!$B$2*100+9)))</f>
        <v/>
      </c>
      <c r="L18" s="10">
        <f>IF(A18="","",IF(B18="Thu",SUMIFS('Sổ giao dịch'!$E$2:$E$3001,'Sổ giao dịch'!$C$2:$C$3001,A18,'Sổ giao dịch'!$H$2:$H$3001,'Thống kê tháng'!$B$2*100+10),SUMIFS('Sổ giao dịch'!$F$2:$F$3001,'Sổ giao dịch'!$C$2:$C$3001,A18,'Sổ giao dịch'!$H$2:$H$3001,'Thống kê tháng'!$B$2*100+10)))</f>
        <v/>
      </c>
      <c r="M18" s="10">
        <f>IF(A18="","",IF(B18="Thu",SUMIFS('Sổ giao dịch'!$E$2:$E$3001,'Sổ giao dịch'!$C$2:$C$3001,A18,'Sổ giao dịch'!$H$2:$H$3001,'Thống kê tháng'!$B$2*100+11),SUMIFS('Sổ giao dịch'!$F$2:$F$3001,'Sổ giao dịch'!$C$2:$C$3001,A18,'Sổ giao dịch'!$H$2:$H$3001,'Thống kê tháng'!$B$2*100+11)))</f>
        <v/>
      </c>
      <c r="N18" s="10">
        <f>IF(A18="","",IF(B18="Thu",SUMIFS('Sổ giao dịch'!$E$2:$E$3001,'Sổ giao dịch'!$C$2:$C$3001,A18,'Sổ giao dịch'!$H$2:$H$3001,'Thống kê tháng'!$B$2*100+12),SUMIFS('Sổ giao dịch'!$F$2:$F$3001,'Sổ giao dịch'!$C$2:$C$3001,A18,'Sổ giao dịch'!$H$2:$H$3001,'Thống kê tháng'!$B$2*100+12)))</f>
        <v/>
      </c>
      <c r="O18" s="10">
        <f>IF(A18="","",SUM(C18:N18))</f>
        <v/>
      </c>
      <c r="P18" s="10">
        <f>IF(A18="","",IF('Thống kê tháng'!$B$19=0,0,O18/'Thống kê tháng'!$B$19))</f>
        <v/>
      </c>
      <c r="Q18" s="10">
        <f>IF(OR(A18="",'Danh mục'!C15=""),"",'Danh mục'!C15)</f>
        <v/>
      </c>
      <c r="R18" s="13">
        <f>IF(OR(Q18="",Q18=0),"",P18/Q18)</f>
        <v/>
      </c>
    </row>
    <row r="19">
      <c r="A19" s="16">
        <f>IF('Danh mục'!A16="","",'Danh mục'!A16)</f>
        <v/>
      </c>
      <c r="B19" s="16">
        <f>IF(A19="","",'Danh mục'!B16)</f>
        <v/>
      </c>
      <c r="C19" s="10">
        <f>IF(A19="","",IF(B19="Thu",SUMIFS('Sổ giao dịch'!$E$2:$E$3001,'Sổ giao dịch'!$C$2:$C$3001,A19,'Sổ giao dịch'!$H$2:$H$3001,'Thống kê tháng'!$B$2*100+1),SUMIFS('Sổ giao dịch'!$F$2:$F$3001,'Sổ giao dịch'!$C$2:$C$3001,A19,'Sổ giao dịch'!$H$2:$H$3001,'Thống kê tháng'!$B$2*100+1)))</f>
        <v/>
      </c>
      <c r="D19" s="10">
        <f>IF(A19="","",IF(B19="Thu",SUMIFS('Sổ giao dịch'!$E$2:$E$3001,'Sổ giao dịch'!$C$2:$C$3001,A19,'Sổ giao dịch'!$H$2:$H$3001,'Thống kê tháng'!$B$2*100+2),SUMIFS('Sổ giao dịch'!$F$2:$F$3001,'Sổ giao dịch'!$C$2:$C$3001,A19,'Sổ giao dịch'!$H$2:$H$3001,'Thống kê tháng'!$B$2*100+2)))</f>
        <v/>
      </c>
      <c r="E19" s="10">
        <f>IF(A19="","",IF(B19="Thu",SUMIFS('Sổ giao dịch'!$E$2:$E$3001,'Sổ giao dịch'!$C$2:$C$3001,A19,'Sổ giao dịch'!$H$2:$H$3001,'Thống kê tháng'!$B$2*100+3),SUMIFS('Sổ giao dịch'!$F$2:$F$3001,'Sổ giao dịch'!$C$2:$C$3001,A19,'Sổ giao dịch'!$H$2:$H$3001,'Thống kê tháng'!$B$2*100+3)))</f>
        <v/>
      </c>
      <c r="F19" s="10">
        <f>IF(A19="","",IF(B19="Thu",SUMIFS('Sổ giao dịch'!$E$2:$E$3001,'Sổ giao dịch'!$C$2:$C$3001,A19,'Sổ giao dịch'!$H$2:$H$3001,'Thống kê tháng'!$B$2*100+4),SUMIFS('Sổ giao dịch'!$F$2:$F$3001,'Sổ giao dịch'!$C$2:$C$3001,A19,'Sổ giao dịch'!$H$2:$H$3001,'Thống kê tháng'!$B$2*100+4)))</f>
        <v/>
      </c>
      <c r="G19" s="10">
        <f>IF(A19="","",IF(B19="Thu",SUMIFS('Sổ giao dịch'!$E$2:$E$3001,'Sổ giao dịch'!$C$2:$C$3001,A19,'Sổ giao dịch'!$H$2:$H$3001,'Thống kê tháng'!$B$2*100+5),SUMIFS('Sổ giao dịch'!$F$2:$F$3001,'Sổ giao dịch'!$C$2:$C$3001,A19,'Sổ giao dịch'!$H$2:$H$3001,'Thống kê tháng'!$B$2*100+5)))</f>
        <v/>
      </c>
      <c r="H19" s="10">
        <f>IF(A19="","",IF(B19="Thu",SUMIFS('Sổ giao dịch'!$E$2:$E$3001,'Sổ giao dịch'!$C$2:$C$3001,A19,'Sổ giao dịch'!$H$2:$H$3001,'Thống kê tháng'!$B$2*100+6),SUMIFS('Sổ giao dịch'!$F$2:$F$3001,'Sổ giao dịch'!$C$2:$C$3001,A19,'Sổ giao dịch'!$H$2:$H$3001,'Thống kê tháng'!$B$2*100+6)))</f>
        <v/>
      </c>
      <c r="I19" s="10">
        <f>IF(A19="","",IF(B19="Thu",SUMIFS('Sổ giao dịch'!$E$2:$E$3001,'Sổ giao dịch'!$C$2:$C$3001,A19,'Sổ giao dịch'!$H$2:$H$3001,'Thống kê tháng'!$B$2*100+7),SUMIFS('Sổ giao dịch'!$F$2:$F$3001,'Sổ giao dịch'!$C$2:$C$3001,A19,'Sổ giao dịch'!$H$2:$H$3001,'Thống kê tháng'!$B$2*100+7)))</f>
        <v/>
      </c>
      <c r="J19" s="10">
        <f>IF(A19="","",IF(B19="Thu",SUMIFS('Sổ giao dịch'!$E$2:$E$3001,'Sổ giao dịch'!$C$2:$C$3001,A19,'Sổ giao dịch'!$H$2:$H$3001,'Thống kê tháng'!$B$2*100+8),SUMIFS('Sổ giao dịch'!$F$2:$F$3001,'Sổ giao dịch'!$C$2:$C$3001,A19,'Sổ giao dịch'!$H$2:$H$3001,'Thống kê tháng'!$B$2*100+8)))</f>
        <v/>
      </c>
      <c r="K19" s="10">
        <f>IF(A19="","",IF(B19="Thu",SUMIFS('Sổ giao dịch'!$E$2:$E$3001,'Sổ giao dịch'!$C$2:$C$3001,A19,'Sổ giao dịch'!$H$2:$H$3001,'Thống kê tháng'!$B$2*100+9),SUMIFS('Sổ giao dịch'!$F$2:$F$3001,'Sổ giao dịch'!$C$2:$C$3001,A19,'Sổ giao dịch'!$H$2:$H$3001,'Thống kê tháng'!$B$2*100+9)))</f>
        <v/>
      </c>
      <c r="L19" s="10">
        <f>IF(A19="","",IF(B19="Thu",SUMIFS('Sổ giao dịch'!$E$2:$E$3001,'Sổ giao dịch'!$C$2:$C$3001,A19,'Sổ giao dịch'!$H$2:$H$3001,'Thống kê tháng'!$B$2*100+10),SUMIFS('Sổ giao dịch'!$F$2:$F$3001,'Sổ giao dịch'!$C$2:$C$3001,A19,'Sổ giao dịch'!$H$2:$H$3001,'Thống kê tháng'!$B$2*100+10)))</f>
        <v/>
      </c>
      <c r="M19" s="10">
        <f>IF(A19="","",IF(B19="Thu",SUMIFS('Sổ giao dịch'!$E$2:$E$3001,'Sổ giao dịch'!$C$2:$C$3001,A19,'Sổ giao dịch'!$H$2:$H$3001,'Thống kê tháng'!$B$2*100+11),SUMIFS('Sổ giao dịch'!$F$2:$F$3001,'Sổ giao dịch'!$C$2:$C$3001,A19,'Sổ giao dịch'!$H$2:$H$3001,'Thống kê tháng'!$B$2*100+11)))</f>
        <v/>
      </c>
      <c r="N19" s="10">
        <f>IF(A19="","",IF(B19="Thu",SUMIFS('Sổ giao dịch'!$E$2:$E$3001,'Sổ giao dịch'!$C$2:$C$3001,A19,'Sổ giao dịch'!$H$2:$H$3001,'Thống kê tháng'!$B$2*100+12),SUMIFS('Sổ giao dịch'!$F$2:$F$3001,'Sổ giao dịch'!$C$2:$C$3001,A19,'Sổ giao dịch'!$H$2:$H$3001,'Thống kê tháng'!$B$2*100+12)))</f>
        <v/>
      </c>
      <c r="O19" s="10">
        <f>IF(A19="","",SUM(C19:N19))</f>
        <v/>
      </c>
      <c r="P19" s="10">
        <f>IF(A19="","",IF('Thống kê tháng'!$B$19=0,0,O19/'Thống kê tháng'!$B$19))</f>
        <v/>
      </c>
      <c r="Q19" s="10">
        <f>IF(OR(A19="",'Danh mục'!C16=""),"",'Danh mục'!C16)</f>
        <v/>
      </c>
      <c r="R19" s="13">
        <f>IF(OR(Q19="",Q19=0),"",P19/Q19)</f>
        <v/>
      </c>
    </row>
    <row r="20">
      <c r="A20" s="16">
        <f>IF('Danh mục'!A17="","",'Danh mục'!A17)</f>
        <v/>
      </c>
      <c r="B20" s="16">
        <f>IF(A20="","",'Danh mục'!B17)</f>
        <v/>
      </c>
      <c r="C20" s="10">
        <f>IF(A20="","",IF(B20="Thu",SUMIFS('Sổ giao dịch'!$E$2:$E$3001,'Sổ giao dịch'!$C$2:$C$3001,A20,'Sổ giao dịch'!$H$2:$H$3001,'Thống kê tháng'!$B$2*100+1),SUMIFS('Sổ giao dịch'!$F$2:$F$3001,'Sổ giao dịch'!$C$2:$C$3001,A20,'Sổ giao dịch'!$H$2:$H$3001,'Thống kê tháng'!$B$2*100+1)))</f>
        <v/>
      </c>
      <c r="D20" s="10">
        <f>IF(A20="","",IF(B20="Thu",SUMIFS('Sổ giao dịch'!$E$2:$E$3001,'Sổ giao dịch'!$C$2:$C$3001,A20,'Sổ giao dịch'!$H$2:$H$3001,'Thống kê tháng'!$B$2*100+2),SUMIFS('Sổ giao dịch'!$F$2:$F$3001,'Sổ giao dịch'!$C$2:$C$3001,A20,'Sổ giao dịch'!$H$2:$H$3001,'Thống kê tháng'!$B$2*100+2)))</f>
        <v/>
      </c>
      <c r="E20" s="10">
        <f>IF(A20="","",IF(B20="Thu",SUMIFS('Sổ giao dịch'!$E$2:$E$3001,'Sổ giao dịch'!$C$2:$C$3001,A20,'Sổ giao dịch'!$H$2:$H$3001,'Thống kê tháng'!$B$2*100+3),SUMIFS('Sổ giao dịch'!$F$2:$F$3001,'Sổ giao dịch'!$C$2:$C$3001,A20,'Sổ giao dịch'!$H$2:$H$3001,'Thống kê tháng'!$B$2*100+3)))</f>
        <v/>
      </c>
      <c r="F20" s="10">
        <f>IF(A20="","",IF(B20="Thu",SUMIFS('Sổ giao dịch'!$E$2:$E$3001,'Sổ giao dịch'!$C$2:$C$3001,A20,'Sổ giao dịch'!$H$2:$H$3001,'Thống kê tháng'!$B$2*100+4),SUMIFS('Sổ giao dịch'!$F$2:$F$3001,'Sổ giao dịch'!$C$2:$C$3001,A20,'Sổ giao dịch'!$H$2:$H$3001,'Thống kê tháng'!$B$2*100+4)))</f>
        <v/>
      </c>
      <c r="G20" s="10">
        <f>IF(A20="","",IF(B20="Thu",SUMIFS('Sổ giao dịch'!$E$2:$E$3001,'Sổ giao dịch'!$C$2:$C$3001,A20,'Sổ giao dịch'!$H$2:$H$3001,'Thống kê tháng'!$B$2*100+5),SUMIFS('Sổ giao dịch'!$F$2:$F$3001,'Sổ giao dịch'!$C$2:$C$3001,A20,'Sổ giao dịch'!$H$2:$H$3001,'Thống kê tháng'!$B$2*100+5)))</f>
        <v/>
      </c>
      <c r="H20" s="10">
        <f>IF(A20="","",IF(B20="Thu",SUMIFS('Sổ giao dịch'!$E$2:$E$3001,'Sổ giao dịch'!$C$2:$C$3001,A20,'Sổ giao dịch'!$H$2:$H$3001,'Thống kê tháng'!$B$2*100+6),SUMIFS('Sổ giao dịch'!$F$2:$F$3001,'Sổ giao dịch'!$C$2:$C$3001,A20,'Sổ giao dịch'!$H$2:$H$3001,'Thống kê tháng'!$B$2*100+6)))</f>
        <v/>
      </c>
      <c r="I20" s="10">
        <f>IF(A20="","",IF(B20="Thu",SUMIFS('Sổ giao dịch'!$E$2:$E$3001,'Sổ giao dịch'!$C$2:$C$3001,A20,'Sổ giao dịch'!$H$2:$H$3001,'Thống kê tháng'!$B$2*100+7),SUMIFS('Sổ giao dịch'!$F$2:$F$3001,'Sổ giao dịch'!$C$2:$C$3001,A20,'Sổ giao dịch'!$H$2:$H$3001,'Thống kê tháng'!$B$2*100+7)))</f>
        <v/>
      </c>
      <c r="J20" s="10">
        <f>IF(A20="","",IF(B20="Thu",SUMIFS('Sổ giao dịch'!$E$2:$E$3001,'Sổ giao dịch'!$C$2:$C$3001,A20,'Sổ giao dịch'!$H$2:$H$3001,'Thống kê tháng'!$B$2*100+8),SUMIFS('Sổ giao dịch'!$F$2:$F$3001,'Sổ giao dịch'!$C$2:$C$3001,A20,'Sổ giao dịch'!$H$2:$H$3001,'Thống kê tháng'!$B$2*100+8)))</f>
        <v/>
      </c>
      <c r="K20" s="10">
        <f>IF(A20="","",IF(B20="Thu",SUMIFS('Sổ giao dịch'!$E$2:$E$3001,'Sổ giao dịch'!$C$2:$C$3001,A20,'Sổ giao dịch'!$H$2:$H$3001,'Thống kê tháng'!$B$2*100+9),SUMIFS('Sổ giao dịch'!$F$2:$F$3001,'Sổ giao dịch'!$C$2:$C$3001,A20,'Sổ giao dịch'!$H$2:$H$3001,'Thống kê tháng'!$B$2*100+9)))</f>
        <v/>
      </c>
      <c r="L20" s="10">
        <f>IF(A20="","",IF(B20="Thu",SUMIFS('Sổ giao dịch'!$E$2:$E$3001,'Sổ giao dịch'!$C$2:$C$3001,A20,'Sổ giao dịch'!$H$2:$H$3001,'Thống kê tháng'!$B$2*100+10),SUMIFS('Sổ giao dịch'!$F$2:$F$3001,'Sổ giao dịch'!$C$2:$C$3001,A20,'Sổ giao dịch'!$H$2:$H$3001,'Thống kê tháng'!$B$2*100+10)))</f>
        <v/>
      </c>
      <c r="M20" s="10">
        <f>IF(A20="","",IF(B20="Thu",SUMIFS('Sổ giao dịch'!$E$2:$E$3001,'Sổ giao dịch'!$C$2:$C$3001,A20,'Sổ giao dịch'!$H$2:$H$3001,'Thống kê tháng'!$B$2*100+11),SUMIFS('Sổ giao dịch'!$F$2:$F$3001,'Sổ giao dịch'!$C$2:$C$3001,A20,'Sổ giao dịch'!$H$2:$H$3001,'Thống kê tháng'!$B$2*100+11)))</f>
        <v/>
      </c>
      <c r="N20" s="10">
        <f>IF(A20="","",IF(B20="Thu",SUMIFS('Sổ giao dịch'!$E$2:$E$3001,'Sổ giao dịch'!$C$2:$C$3001,A20,'Sổ giao dịch'!$H$2:$H$3001,'Thống kê tháng'!$B$2*100+12),SUMIFS('Sổ giao dịch'!$F$2:$F$3001,'Sổ giao dịch'!$C$2:$C$3001,A20,'Sổ giao dịch'!$H$2:$H$3001,'Thống kê tháng'!$B$2*100+12)))</f>
        <v/>
      </c>
      <c r="O20" s="10">
        <f>IF(A20="","",SUM(C20:N20))</f>
        <v/>
      </c>
      <c r="P20" s="10">
        <f>IF(A20="","",IF('Thống kê tháng'!$B$19=0,0,O20/'Thống kê tháng'!$B$19))</f>
        <v/>
      </c>
      <c r="Q20" s="10">
        <f>IF(OR(A20="",'Danh mục'!C17=""),"",'Danh mục'!C17)</f>
        <v/>
      </c>
      <c r="R20" s="13">
        <f>IF(OR(Q20="",Q20=0),"",P20/Q20)</f>
        <v/>
      </c>
    </row>
    <row r="21">
      <c r="A21" s="16">
        <f>IF('Danh mục'!A18="","",'Danh mục'!A18)</f>
        <v/>
      </c>
      <c r="B21" s="16">
        <f>IF(A21="","",'Danh mục'!B18)</f>
        <v/>
      </c>
      <c r="C21" s="10">
        <f>IF(A21="","",IF(B21="Thu",SUMIFS('Sổ giao dịch'!$E$2:$E$3001,'Sổ giao dịch'!$C$2:$C$3001,A21,'Sổ giao dịch'!$H$2:$H$3001,'Thống kê tháng'!$B$2*100+1),SUMIFS('Sổ giao dịch'!$F$2:$F$3001,'Sổ giao dịch'!$C$2:$C$3001,A21,'Sổ giao dịch'!$H$2:$H$3001,'Thống kê tháng'!$B$2*100+1)))</f>
        <v/>
      </c>
      <c r="D21" s="10">
        <f>IF(A21="","",IF(B21="Thu",SUMIFS('Sổ giao dịch'!$E$2:$E$3001,'Sổ giao dịch'!$C$2:$C$3001,A21,'Sổ giao dịch'!$H$2:$H$3001,'Thống kê tháng'!$B$2*100+2),SUMIFS('Sổ giao dịch'!$F$2:$F$3001,'Sổ giao dịch'!$C$2:$C$3001,A21,'Sổ giao dịch'!$H$2:$H$3001,'Thống kê tháng'!$B$2*100+2)))</f>
        <v/>
      </c>
      <c r="E21" s="10">
        <f>IF(A21="","",IF(B21="Thu",SUMIFS('Sổ giao dịch'!$E$2:$E$3001,'Sổ giao dịch'!$C$2:$C$3001,A21,'Sổ giao dịch'!$H$2:$H$3001,'Thống kê tháng'!$B$2*100+3),SUMIFS('Sổ giao dịch'!$F$2:$F$3001,'Sổ giao dịch'!$C$2:$C$3001,A21,'Sổ giao dịch'!$H$2:$H$3001,'Thống kê tháng'!$B$2*100+3)))</f>
        <v/>
      </c>
      <c r="F21" s="10">
        <f>IF(A21="","",IF(B21="Thu",SUMIFS('Sổ giao dịch'!$E$2:$E$3001,'Sổ giao dịch'!$C$2:$C$3001,A21,'Sổ giao dịch'!$H$2:$H$3001,'Thống kê tháng'!$B$2*100+4),SUMIFS('Sổ giao dịch'!$F$2:$F$3001,'Sổ giao dịch'!$C$2:$C$3001,A21,'Sổ giao dịch'!$H$2:$H$3001,'Thống kê tháng'!$B$2*100+4)))</f>
        <v/>
      </c>
      <c r="G21" s="10">
        <f>IF(A21="","",IF(B21="Thu",SUMIFS('Sổ giao dịch'!$E$2:$E$3001,'Sổ giao dịch'!$C$2:$C$3001,A21,'Sổ giao dịch'!$H$2:$H$3001,'Thống kê tháng'!$B$2*100+5),SUMIFS('Sổ giao dịch'!$F$2:$F$3001,'Sổ giao dịch'!$C$2:$C$3001,A21,'Sổ giao dịch'!$H$2:$H$3001,'Thống kê tháng'!$B$2*100+5)))</f>
        <v/>
      </c>
      <c r="H21" s="10">
        <f>IF(A21="","",IF(B21="Thu",SUMIFS('Sổ giao dịch'!$E$2:$E$3001,'Sổ giao dịch'!$C$2:$C$3001,A21,'Sổ giao dịch'!$H$2:$H$3001,'Thống kê tháng'!$B$2*100+6),SUMIFS('Sổ giao dịch'!$F$2:$F$3001,'Sổ giao dịch'!$C$2:$C$3001,A21,'Sổ giao dịch'!$H$2:$H$3001,'Thống kê tháng'!$B$2*100+6)))</f>
        <v/>
      </c>
      <c r="I21" s="10">
        <f>IF(A21="","",IF(B21="Thu",SUMIFS('Sổ giao dịch'!$E$2:$E$3001,'Sổ giao dịch'!$C$2:$C$3001,A21,'Sổ giao dịch'!$H$2:$H$3001,'Thống kê tháng'!$B$2*100+7),SUMIFS('Sổ giao dịch'!$F$2:$F$3001,'Sổ giao dịch'!$C$2:$C$3001,A21,'Sổ giao dịch'!$H$2:$H$3001,'Thống kê tháng'!$B$2*100+7)))</f>
        <v/>
      </c>
      <c r="J21" s="10">
        <f>IF(A21="","",IF(B21="Thu",SUMIFS('Sổ giao dịch'!$E$2:$E$3001,'Sổ giao dịch'!$C$2:$C$3001,A21,'Sổ giao dịch'!$H$2:$H$3001,'Thống kê tháng'!$B$2*100+8),SUMIFS('Sổ giao dịch'!$F$2:$F$3001,'Sổ giao dịch'!$C$2:$C$3001,A21,'Sổ giao dịch'!$H$2:$H$3001,'Thống kê tháng'!$B$2*100+8)))</f>
        <v/>
      </c>
      <c r="K21" s="10">
        <f>IF(A21="","",IF(B21="Thu",SUMIFS('Sổ giao dịch'!$E$2:$E$3001,'Sổ giao dịch'!$C$2:$C$3001,A21,'Sổ giao dịch'!$H$2:$H$3001,'Thống kê tháng'!$B$2*100+9),SUMIFS('Sổ giao dịch'!$F$2:$F$3001,'Sổ giao dịch'!$C$2:$C$3001,A21,'Sổ giao dịch'!$H$2:$H$3001,'Thống kê tháng'!$B$2*100+9)))</f>
        <v/>
      </c>
      <c r="L21" s="10">
        <f>IF(A21="","",IF(B21="Thu",SUMIFS('Sổ giao dịch'!$E$2:$E$3001,'Sổ giao dịch'!$C$2:$C$3001,A21,'Sổ giao dịch'!$H$2:$H$3001,'Thống kê tháng'!$B$2*100+10),SUMIFS('Sổ giao dịch'!$F$2:$F$3001,'Sổ giao dịch'!$C$2:$C$3001,A21,'Sổ giao dịch'!$H$2:$H$3001,'Thống kê tháng'!$B$2*100+10)))</f>
        <v/>
      </c>
      <c r="M21" s="10">
        <f>IF(A21="","",IF(B21="Thu",SUMIFS('Sổ giao dịch'!$E$2:$E$3001,'Sổ giao dịch'!$C$2:$C$3001,A21,'Sổ giao dịch'!$H$2:$H$3001,'Thống kê tháng'!$B$2*100+11),SUMIFS('Sổ giao dịch'!$F$2:$F$3001,'Sổ giao dịch'!$C$2:$C$3001,A21,'Sổ giao dịch'!$H$2:$H$3001,'Thống kê tháng'!$B$2*100+11)))</f>
        <v/>
      </c>
      <c r="N21" s="10">
        <f>IF(A21="","",IF(B21="Thu",SUMIFS('Sổ giao dịch'!$E$2:$E$3001,'Sổ giao dịch'!$C$2:$C$3001,A21,'Sổ giao dịch'!$H$2:$H$3001,'Thống kê tháng'!$B$2*100+12),SUMIFS('Sổ giao dịch'!$F$2:$F$3001,'Sổ giao dịch'!$C$2:$C$3001,A21,'Sổ giao dịch'!$H$2:$H$3001,'Thống kê tháng'!$B$2*100+12)))</f>
        <v/>
      </c>
      <c r="O21" s="10">
        <f>IF(A21="","",SUM(C21:N21))</f>
        <v/>
      </c>
      <c r="P21" s="10">
        <f>IF(A21="","",IF('Thống kê tháng'!$B$19=0,0,O21/'Thống kê tháng'!$B$19))</f>
        <v/>
      </c>
      <c r="Q21" s="10">
        <f>IF(OR(A21="",'Danh mục'!C18=""),"",'Danh mục'!C18)</f>
        <v/>
      </c>
      <c r="R21" s="13">
        <f>IF(OR(Q21="",Q21=0),"",P21/Q21)</f>
        <v/>
      </c>
    </row>
    <row r="22">
      <c r="A22" s="16">
        <f>IF('Danh mục'!A19="","",'Danh mục'!A19)</f>
        <v/>
      </c>
      <c r="B22" s="16">
        <f>IF(A22="","",'Danh mục'!B19)</f>
        <v/>
      </c>
      <c r="C22" s="10">
        <f>IF(A22="","",IF(B22="Thu",SUMIFS('Sổ giao dịch'!$E$2:$E$3001,'Sổ giao dịch'!$C$2:$C$3001,A22,'Sổ giao dịch'!$H$2:$H$3001,'Thống kê tháng'!$B$2*100+1),SUMIFS('Sổ giao dịch'!$F$2:$F$3001,'Sổ giao dịch'!$C$2:$C$3001,A22,'Sổ giao dịch'!$H$2:$H$3001,'Thống kê tháng'!$B$2*100+1)))</f>
        <v/>
      </c>
      <c r="D22" s="10">
        <f>IF(A22="","",IF(B22="Thu",SUMIFS('Sổ giao dịch'!$E$2:$E$3001,'Sổ giao dịch'!$C$2:$C$3001,A22,'Sổ giao dịch'!$H$2:$H$3001,'Thống kê tháng'!$B$2*100+2),SUMIFS('Sổ giao dịch'!$F$2:$F$3001,'Sổ giao dịch'!$C$2:$C$3001,A22,'Sổ giao dịch'!$H$2:$H$3001,'Thống kê tháng'!$B$2*100+2)))</f>
        <v/>
      </c>
      <c r="E22" s="10">
        <f>IF(A22="","",IF(B22="Thu",SUMIFS('Sổ giao dịch'!$E$2:$E$3001,'Sổ giao dịch'!$C$2:$C$3001,A22,'Sổ giao dịch'!$H$2:$H$3001,'Thống kê tháng'!$B$2*100+3),SUMIFS('Sổ giao dịch'!$F$2:$F$3001,'Sổ giao dịch'!$C$2:$C$3001,A22,'Sổ giao dịch'!$H$2:$H$3001,'Thống kê tháng'!$B$2*100+3)))</f>
        <v/>
      </c>
      <c r="F22" s="10">
        <f>IF(A22="","",IF(B22="Thu",SUMIFS('Sổ giao dịch'!$E$2:$E$3001,'Sổ giao dịch'!$C$2:$C$3001,A22,'Sổ giao dịch'!$H$2:$H$3001,'Thống kê tháng'!$B$2*100+4),SUMIFS('Sổ giao dịch'!$F$2:$F$3001,'Sổ giao dịch'!$C$2:$C$3001,A22,'Sổ giao dịch'!$H$2:$H$3001,'Thống kê tháng'!$B$2*100+4)))</f>
        <v/>
      </c>
      <c r="G22" s="10">
        <f>IF(A22="","",IF(B22="Thu",SUMIFS('Sổ giao dịch'!$E$2:$E$3001,'Sổ giao dịch'!$C$2:$C$3001,A22,'Sổ giao dịch'!$H$2:$H$3001,'Thống kê tháng'!$B$2*100+5),SUMIFS('Sổ giao dịch'!$F$2:$F$3001,'Sổ giao dịch'!$C$2:$C$3001,A22,'Sổ giao dịch'!$H$2:$H$3001,'Thống kê tháng'!$B$2*100+5)))</f>
        <v/>
      </c>
      <c r="H22" s="10">
        <f>IF(A22="","",IF(B22="Thu",SUMIFS('Sổ giao dịch'!$E$2:$E$3001,'Sổ giao dịch'!$C$2:$C$3001,A22,'Sổ giao dịch'!$H$2:$H$3001,'Thống kê tháng'!$B$2*100+6),SUMIFS('Sổ giao dịch'!$F$2:$F$3001,'Sổ giao dịch'!$C$2:$C$3001,A22,'Sổ giao dịch'!$H$2:$H$3001,'Thống kê tháng'!$B$2*100+6)))</f>
        <v/>
      </c>
      <c r="I22" s="10">
        <f>IF(A22="","",IF(B22="Thu",SUMIFS('Sổ giao dịch'!$E$2:$E$3001,'Sổ giao dịch'!$C$2:$C$3001,A22,'Sổ giao dịch'!$H$2:$H$3001,'Thống kê tháng'!$B$2*100+7),SUMIFS('Sổ giao dịch'!$F$2:$F$3001,'Sổ giao dịch'!$C$2:$C$3001,A22,'Sổ giao dịch'!$H$2:$H$3001,'Thống kê tháng'!$B$2*100+7)))</f>
        <v/>
      </c>
      <c r="J22" s="10">
        <f>IF(A22="","",IF(B22="Thu",SUMIFS('Sổ giao dịch'!$E$2:$E$3001,'Sổ giao dịch'!$C$2:$C$3001,A22,'Sổ giao dịch'!$H$2:$H$3001,'Thống kê tháng'!$B$2*100+8),SUMIFS('Sổ giao dịch'!$F$2:$F$3001,'Sổ giao dịch'!$C$2:$C$3001,A22,'Sổ giao dịch'!$H$2:$H$3001,'Thống kê tháng'!$B$2*100+8)))</f>
        <v/>
      </c>
      <c r="K22" s="10">
        <f>IF(A22="","",IF(B22="Thu",SUMIFS('Sổ giao dịch'!$E$2:$E$3001,'Sổ giao dịch'!$C$2:$C$3001,A22,'Sổ giao dịch'!$H$2:$H$3001,'Thống kê tháng'!$B$2*100+9),SUMIFS('Sổ giao dịch'!$F$2:$F$3001,'Sổ giao dịch'!$C$2:$C$3001,A22,'Sổ giao dịch'!$H$2:$H$3001,'Thống kê tháng'!$B$2*100+9)))</f>
        <v/>
      </c>
      <c r="L22" s="10">
        <f>IF(A22="","",IF(B22="Thu",SUMIFS('Sổ giao dịch'!$E$2:$E$3001,'Sổ giao dịch'!$C$2:$C$3001,A22,'Sổ giao dịch'!$H$2:$H$3001,'Thống kê tháng'!$B$2*100+10),SUMIFS('Sổ giao dịch'!$F$2:$F$3001,'Sổ giao dịch'!$C$2:$C$3001,A22,'Sổ giao dịch'!$H$2:$H$3001,'Thống kê tháng'!$B$2*100+10)))</f>
        <v/>
      </c>
      <c r="M22" s="10">
        <f>IF(A22="","",IF(B22="Thu",SUMIFS('Sổ giao dịch'!$E$2:$E$3001,'Sổ giao dịch'!$C$2:$C$3001,A22,'Sổ giao dịch'!$H$2:$H$3001,'Thống kê tháng'!$B$2*100+11),SUMIFS('Sổ giao dịch'!$F$2:$F$3001,'Sổ giao dịch'!$C$2:$C$3001,A22,'Sổ giao dịch'!$H$2:$H$3001,'Thống kê tháng'!$B$2*100+11)))</f>
        <v/>
      </c>
      <c r="N22" s="10">
        <f>IF(A22="","",IF(B22="Thu",SUMIFS('Sổ giao dịch'!$E$2:$E$3001,'Sổ giao dịch'!$C$2:$C$3001,A22,'Sổ giao dịch'!$H$2:$H$3001,'Thống kê tháng'!$B$2*100+12),SUMIFS('Sổ giao dịch'!$F$2:$F$3001,'Sổ giao dịch'!$C$2:$C$3001,A22,'Sổ giao dịch'!$H$2:$H$3001,'Thống kê tháng'!$B$2*100+12)))</f>
        <v/>
      </c>
      <c r="O22" s="10">
        <f>IF(A22="","",SUM(C22:N22))</f>
        <v/>
      </c>
      <c r="P22" s="10">
        <f>IF(A22="","",IF('Thống kê tháng'!$B$19=0,0,O22/'Thống kê tháng'!$B$19))</f>
        <v/>
      </c>
      <c r="Q22" s="10">
        <f>IF(OR(A22="",'Danh mục'!C19=""),"",'Danh mục'!C19)</f>
        <v/>
      </c>
      <c r="R22" s="13">
        <f>IF(OR(Q22="",Q22=0),"",P22/Q22)</f>
        <v/>
      </c>
    </row>
    <row r="23">
      <c r="A23" s="16">
        <f>IF('Danh mục'!A20="","",'Danh mục'!A20)</f>
        <v/>
      </c>
      <c r="B23" s="16">
        <f>IF(A23="","",'Danh mục'!B20)</f>
        <v/>
      </c>
      <c r="C23" s="10">
        <f>IF(A23="","",IF(B23="Thu",SUMIFS('Sổ giao dịch'!$E$2:$E$3001,'Sổ giao dịch'!$C$2:$C$3001,A23,'Sổ giao dịch'!$H$2:$H$3001,'Thống kê tháng'!$B$2*100+1),SUMIFS('Sổ giao dịch'!$F$2:$F$3001,'Sổ giao dịch'!$C$2:$C$3001,A23,'Sổ giao dịch'!$H$2:$H$3001,'Thống kê tháng'!$B$2*100+1)))</f>
        <v/>
      </c>
      <c r="D23" s="10">
        <f>IF(A23="","",IF(B23="Thu",SUMIFS('Sổ giao dịch'!$E$2:$E$3001,'Sổ giao dịch'!$C$2:$C$3001,A23,'Sổ giao dịch'!$H$2:$H$3001,'Thống kê tháng'!$B$2*100+2),SUMIFS('Sổ giao dịch'!$F$2:$F$3001,'Sổ giao dịch'!$C$2:$C$3001,A23,'Sổ giao dịch'!$H$2:$H$3001,'Thống kê tháng'!$B$2*100+2)))</f>
        <v/>
      </c>
      <c r="E23" s="10">
        <f>IF(A23="","",IF(B23="Thu",SUMIFS('Sổ giao dịch'!$E$2:$E$3001,'Sổ giao dịch'!$C$2:$C$3001,A23,'Sổ giao dịch'!$H$2:$H$3001,'Thống kê tháng'!$B$2*100+3),SUMIFS('Sổ giao dịch'!$F$2:$F$3001,'Sổ giao dịch'!$C$2:$C$3001,A23,'Sổ giao dịch'!$H$2:$H$3001,'Thống kê tháng'!$B$2*100+3)))</f>
        <v/>
      </c>
      <c r="F23" s="10">
        <f>IF(A23="","",IF(B23="Thu",SUMIFS('Sổ giao dịch'!$E$2:$E$3001,'Sổ giao dịch'!$C$2:$C$3001,A23,'Sổ giao dịch'!$H$2:$H$3001,'Thống kê tháng'!$B$2*100+4),SUMIFS('Sổ giao dịch'!$F$2:$F$3001,'Sổ giao dịch'!$C$2:$C$3001,A23,'Sổ giao dịch'!$H$2:$H$3001,'Thống kê tháng'!$B$2*100+4)))</f>
        <v/>
      </c>
      <c r="G23" s="10">
        <f>IF(A23="","",IF(B23="Thu",SUMIFS('Sổ giao dịch'!$E$2:$E$3001,'Sổ giao dịch'!$C$2:$C$3001,A23,'Sổ giao dịch'!$H$2:$H$3001,'Thống kê tháng'!$B$2*100+5),SUMIFS('Sổ giao dịch'!$F$2:$F$3001,'Sổ giao dịch'!$C$2:$C$3001,A23,'Sổ giao dịch'!$H$2:$H$3001,'Thống kê tháng'!$B$2*100+5)))</f>
        <v/>
      </c>
      <c r="H23" s="10">
        <f>IF(A23="","",IF(B23="Thu",SUMIFS('Sổ giao dịch'!$E$2:$E$3001,'Sổ giao dịch'!$C$2:$C$3001,A23,'Sổ giao dịch'!$H$2:$H$3001,'Thống kê tháng'!$B$2*100+6),SUMIFS('Sổ giao dịch'!$F$2:$F$3001,'Sổ giao dịch'!$C$2:$C$3001,A23,'Sổ giao dịch'!$H$2:$H$3001,'Thống kê tháng'!$B$2*100+6)))</f>
        <v/>
      </c>
      <c r="I23" s="10">
        <f>IF(A23="","",IF(B23="Thu",SUMIFS('Sổ giao dịch'!$E$2:$E$3001,'Sổ giao dịch'!$C$2:$C$3001,A23,'Sổ giao dịch'!$H$2:$H$3001,'Thống kê tháng'!$B$2*100+7),SUMIFS('Sổ giao dịch'!$F$2:$F$3001,'Sổ giao dịch'!$C$2:$C$3001,A23,'Sổ giao dịch'!$H$2:$H$3001,'Thống kê tháng'!$B$2*100+7)))</f>
        <v/>
      </c>
      <c r="J23" s="10">
        <f>IF(A23="","",IF(B23="Thu",SUMIFS('Sổ giao dịch'!$E$2:$E$3001,'Sổ giao dịch'!$C$2:$C$3001,A23,'Sổ giao dịch'!$H$2:$H$3001,'Thống kê tháng'!$B$2*100+8),SUMIFS('Sổ giao dịch'!$F$2:$F$3001,'Sổ giao dịch'!$C$2:$C$3001,A23,'Sổ giao dịch'!$H$2:$H$3001,'Thống kê tháng'!$B$2*100+8)))</f>
        <v/>
      </c>
      <c r="K23" s="10">
        <f>IF(A23="","",IF(B23="Thu",SUMIFS('Sổ giao dịch'!$E$2:$E$3001,'Sổ giao dịch'!$C$2:$C$3001,A23,'Sổ giao dịch'!$H$2:$H$3001,'Thống kê tháng'!$B$2*100+9),SUMIFS('Sổ giao dịch'!$F$2:$F$3001,'Sổ giao dịch'!$C$2:$C$3001,A23,'Sổ giao dịch'!$H$2:$H$3001,'Thống kê tháng'!$B$2*100+9)))</f>
        <v/>
      </c>
      <c r="L23" s="10">
        <f>IF(A23="","",IF(B23="Thu",SUMIFS('Sổ giao dịch'!$E$2:$E$3001,'Sổ giao dịch'!$C$2:$C$3001,A23,'Sổ giao dịch'!$H$2:$H$3001,'Thống kê tháng'!$B$2*100+10),SUMIFS('Sổ giao dịch'!$F$2:$F$3001,'Sổ giao dịch'!$C$2:$C$3001,A23,'Sổ giao dịch'!$H$2:$H$3001,'Thống kê tháng'!$B$2*100+10)))</f>
        <v/>
      </c>
      <c r="M23" s="10">
        <f>IF(A23="","",IF(B23="Thu",SUMIFS('Sổ giao dịch'!$E$2:$E$3001,'Sổ giao dịch'!$C$2:$C$3001,A23,'Sổ giao dịch'!$H$2:$H$3001,'Thống kê tháng'!$B$2*100+11),SUMIFS('Sổ giao dịch'!$F$2:$F$3001,'Sổ giao dịch'!$C$2:$C$3001,A23,'Sổ giao dịch'!$H$2:$H$3001,'Thống kê tháng'!$B$2*100+11)))</f>
        <v/>
      </c>
      <c r="N23" s="10">
        <f>IF(A23="","",IF(B23="Thu",SUMIFS('Sổ giao dịch'!$E$2:$E$3001,'Sổ giao dịch'!$C$2:$C$3001,A23,'Sổ giao dịch'!$H$2:$H$3001,'Thống kê tháng'!$B$2*100+12),SUMIFS('Sổ giao dịch'!$F$2:$F$3001,'Sổ giao dịch'!$C$2:$C$3001,A23,'Sổ giao dịch'!$H$2:$H$3001,'Thống kê tháng'!$B$2*100+12)))</f>
        <v/>
      </c>
      <c r="O23" s="10">
        <f>IF(A23="","",SUM(C23:N23))</f>
        <v/>
      </c>
      <c r="P23" s="10">
        <f>IF(A23="","",IF('Thống kê tháng'!$B$19=0,0,O23/'Thống kê tháng'!$B$19))</f>
        <v/>
      </c>
      <c r="Q23" s="10">
        <f>IF(OR(A23="",'Danh mục'!C20=""),"",'Danh mục'!C20)</f>
        <v/>
      </c>
      <c r="R23" s="13">
        <f>IF(OR(Q23="",Q23=0),"",P23/Q23)</f>
        <v/>
      </c>
    </row>
    <row r="24">
      <c r="A24" s="16">
        <f>IF('Danh mục'!A21="","",'Danh mục'!A21)</f>
        <v/>
      </c>
      <c r="B24" s="16">
        <f>IF(A24="","",'Danh mục'!B21)</f>
        <v/>
      </c>
      <c r="C24" s="10">
        <f>IF(A24="","",IF(B24="Thu",SUMIFS('Sổ giao dịch'!$E$2:$E$3001,'Sổ giao dịch'!$C$2:$C$3001,A24,'Sổ giao dịch'!$H$2:$H$3001,'Thống kê tháng'!$B$2*100+1),SUMIFS('Sổ giao dịch'!$F$2:$F$3001,'Sổ giao dịch'!$C$2:$C$3001,A24,'Sổ giao dịch'!$H$2:$H$3001,'Thống kê tháng'!$B$2*100+1)))</f>
        <v/>
      </c>
      <c r="D24" s="10">
        <f>IF(A24="","",IF(B24="Thu",SUMIFS('Sổ giao dịch'!$E$2:$E$3001,'Sổ giao dịch'!$C$2:$C$3001,A24,'Sổ giao dịch'!$H$2:$H$3001,'Thống kê tháng'!$B$2*100+2),SUMIFS('Sổ giao dịch'!$F$2:$F$3001,'Sổ giao dịch'!$C$2:$C$3001,A24,'Sổ giao dịch'!$H$2:$H$3001,'Thống kê tháng'!$B$2*100+2)))</f>
        <v/>
      </c>
      <c r="E24" s="10">
        <f>IF(A24="","",IF(B24="Thu",SUMIFS('Sổ giao dịch'!$E$2:$E$3001,'Sổ giao dịch'!$C$2:$C$3001,A24,'Sổ giao dịch'!$H$2:$H$3001,'Thống kê tháng'!$B$2*100+3),SUMIFS('Sổ giao dịch'!$F$2:$F$3001,'Sổ giao dịch'!$C$2:$C$3001,A24,'Sổ giao dịch'!$H$2:$H$3001,'Thống kê tháng'!$B$2*100+3)))</f>
        <v/>
      </c>
      <c r="F24" s="10">
        <f>IF(A24="","",IF(B24="Thu",SUMIFS('Sổ giao dịch'!$E$2:$E$3001,'Sổ giao dịch'!$C$2:$C$3001,A24,'Sổ giao dịch'!$H$2:$H$3001,'Thống kê tháng'!$B$2*100+4),SUMIFS('Sổ giao dịch'!$F$2:$F$3001,'Sổ giao dịch'!$C$2:$C$3001,A24,'Sổ giao dịch'!$H$2:$H$3001,'Thống kê tháng'!$B$2*100+4)))</f>
        <v/>
      </c>
      <c r="G24" s="10">
        <f>IF(A24="","",IF(B24="Thu",SUMIFS('Sổ giao dịch'!$E$2:$E$3001,'Sổ giao dịch'!$C$2:$C$3001,A24,'Sổ giao dịch'!$H$2:$H$3001,'Thống kê tháng'!$B$2*100+5),SUMIFS('Sổ giao dịch'!$F$2:$F$3001,'Sổ giao dịch'!$C$2:$C$3001,A24,'Sổ giao dịch'!$H$2:$H$3001,'Thống kê tháng'!$B$2*100+5)))</f>
        <v/>
      </c>
      <c r="H24" s="10">
        <f>IF(A24="","",IF(B24="Thu",SUMIFS('Sổ giao dịch'!$E$2:$E$3001,'Sổ giao dịch'!$C$2:$C$3001,A24,'Sổ giao dịch'!$H$2:$H$3001,'Thống kê tháng'!$B$2*100+6),SUMIFS('Sổ giao dịch'!$F$2:$F$3001,'Sổ giao dịch'!$C$2:$C$3001,A24,'Sổ giao dịch'!$H$2:$H$3001,'Thống kê tháng'!$B$2*100+6)))</f>
        <v/>
      </c>
      <c r="I24" s="10">
        <f>IF(A24="","",IF(B24="Thu",SUMIFS('Sổ giao dịch'!$E$2:$E$3001,'Sổ giao dịch'!$C$2:$C$3001,A24,'Sổ giao dịch'!$H$2:$H$3001,'Thống kê tháng'!$B$2*100+7),SUMIFS('Sổ giao dịch'!$F$2:$F$3001,'Sổ giao dịch'!$C$2:$C$3001,A24,'Sổ giao dịch'!$H$2:$H$3001,'Thống kê tháng'!$B$2*100+7)))</f>
        <v/>
      </c>
      <c r="J24" s="10">
        <f>IF(A24="","",IF(B24="Thu",SUMIFS('Sổ giao dịch'!$E$2:$E$3001,'Sổ giao dịch'!$C$2:$C$3001,A24,'Sổ giao dịch'!$H$2:$H$3001,'Thống kê tháng'!$B$2*100+8),SUMIFS('Sổ giao dịch'!$F$2:$F$3001,'Sổ giao dịch'!$C$2:$C$3001,A24,'Sổ giao dịch'!$H$2:$H$3001,'Thống kê tháng'!$B$2*100+8)))</f>
        <v/>
      </c>
      <c r="K24" s="10">
        <f>IF(A24="","",IF(B24="Thu",SUMIFS('Sổ giao dịch'!$E$2:$E$3001,'Sổ giao dịch'!$C$2:$C$3001,A24,'Sổ giao dịch'!$H$2:$H$3001,'Thống kê tháng'!$B$2*100+9),SUMIFS('Sổ giao dịch'!$F$2:$F$3001,'Sổ giao dịch'!$C$2:$C$3001,A24,'Sổ giao dịch'!$H$2:$H$3001,'Thống kê tháng'!$B$2*100+9)))</f>
        <v/>
      </c>
      <c r="L24" s="10">
        <f>IF(A24="","",IF(B24="Thu",SUMIFS('Sổ giao dịch'!$E$2:$E$3001,'Sổ giao dịch'!$C$2:$C$3001,A24,'Sổ giao dịch'!$H$2:$H$3001,'Thống kê tháng'!$B$2*100+10),SUMIFS('Sổ giao dịch'!$F$2:$F$3001,'Sổ giao dịch'!$C$2:$C$3001,A24,'Sổ giao dịch'!$H$2:$H$3001,'Thống kê tháng'!$B$2*100+10)))</f>
        <v/>
      </c>
      <c r="M24" s="10">
        <f>IF(A24="","",IF(B24="Thu",SUMIFS('Sổ giao dịch'!$E$2:$E$3001,'Sổ giao dịch'!$C$2:$C$3001,A24,'Sổ giao dịch'!$H$2:$H$3001,'Thống kê tháng'!$B$2*100+11),SUMIFS('Sổ giao dịch'!$F$2:$F$3001,'Sổ giao dịch'!$C$2:$C$3001,A24,'Sổ giao dịch'!$H$2:$H$3001,'Thống kê tháng'!$B$2*100+11)))</f>
        <v/>
      </c>
      <c r="N24" s="10">
        <f>IF(A24="","",IF(B24="Thu",SUMIFS('Sổ giao dịch'!$E$2:$E$3001,'Sổ giao dịch'!$C$2:$C$3001,A24,'Sổ giao dịch'!$H$2:$H$3001,'Thống kê tháng'!$B$2*100+12),SUMIFS('Sổ giao dịch'!$F$2:$F$3001,'Sổ giao dịch'!$C$2:$C$3001,A24,'Sổ giao dịch'!$H$2:$H$3001,'Thống kê tháng'!$B$2*100+12)))</f>
        <v/>
      </c>
      <c r="O24" s="10">
        <f>IF(A24="","",SUM(C24:N24))</f>
        <v/>
      </c>
      <c r="P24" s="10">
        <f>IF(A24="","",IF('Thống kê tháng'!$B$19=0,0,O24/'Thống kê tháng'!$B$19))</f>
        <v/>
      </c>
      <c r="Q24" s="10">
        <f>IF(OR(A24="",'Danh mục'!C21=""),"",'Danh mục'!C21)</f>
        <v/>
      </c>
      <c r="R24" s="13">
        <f>IF(OR(Q24="",Q24=0),"",P24/Q24)</f>
        <v/>
      </c>
    </row>
    <row r="25">
      <c r="A25" s="16">
        <f>IF('Danh mục'!A22="","",'Danh mục'!A22)</f>
        <v/>
      </c>
      <c r="B25" s="16">
        <f>IF(A25="","",'Danh mục'!B22)</f>
        <v/>
      </c>
      <c r="C25" s="10">
        <f>IF(A25="","",IF(B25="Thu",SUMIFS('Sổ giao dịch'!$E$2:$E$3001,'Sổ giao dịch'!$C$2:$C$3001,A25,'Sổ giao dịch'!$H$2:$H$3001,'Thống kê tháng'!$B$2*100+1),SUMIFS('Sổ giao dịch'!$F$2:$F$3001,'Sổ giao dịch'!$C$2:$C$3001,A25,'Sổ giao dịch'!$H$2:$H$3001,'Thống kê tháng'!$B$2*100+1)))</f>
        <v/>
      </c>
      <c r="D25" s="10">
        <f>IF(A25="","",IF(B25="Thu",SUMIFS('Sổ giao dịch'!$E$2:$E$3001,'Sổ giao dịch'!$C$2:$C$3001,A25,'Sổ giao dịch'!$H$2:$H$3001,'Thống kê tháng'!$B$2*100+2),SUMIFS('Sổ giao dịch'!$F$2:$F$3001,'Sổ giao dịch'!$C$2:$C$3001,A25,'Sổ giao dịch'!$H$2:$H$3001,'Thống kê tháng'!$B$2*100+2)))</f>
        <v/>
      </c>
      <c r="E25" s="10">
        <f>IF(A25="","",IF(B25="Thu",SUMIFS('Sổ giao dịch'!$E$2:$E$3001,'Sổ giao dịch'!$C$2:$C$3001,A25,'Sổ giao dịch'!$H$2:$H$3001,'Thống kê tháng'!$B$2*100+3),SUMIFS('Sổ giao dịch'!$F$2:$F$3001,'Sổ giao dịch'!$C$2:$C$3001,A25,'Sổ giao dịch'!$H$2:$H$3001,'Thống kê tháng'!$B$2*100+3)))</f>
        <v/>
      </c>
      <c r="F25" s="10">
        <f>IF(A25="","",IF(B25="Thu",SUMIFS('Sổ giao dịch'!$E$2:$E$3001,'Sổ giao dịch'!$C$2:$C$3001,A25,'Sổ giao dịch'!$H$2:$H$3001,'Thống kê tháng'!$B$2*100+4),SUMIFS('Sổ giao dịch'!$F$2:$F$3001,'Sổ giao dịch'!$C$2:$C$3001,A25,'Sổ giao dịch'!$H$2:$H$3001,'Thống kê tháng'!$B$2*100+4)))</f>
        <v/>
      </c>
      <c r="G25" s="10">
        <f>IF(A25="","",IF(B25="Thu",SUMIFS('Sổ giao dịch'!$E$2:$E$3001,'Sổ giao dịch'!$C$2:$C$3001,A25,'Sổ giao dịch'!$H$2:$H$3001,'Thống kê tháng'!$B$2*100+5),SUMIFS('Sổ giao dịch'!$F$2:$F$3001,'Sổ giao dịch'!$C$2:$C$3001,A25,'Sổ giao dịch'!$H$2:$H$3001,'Thống kê tháng'!$B$2*100+5)))</f>
        <v/>
      </c>
      <c r="H25" s="10">
        <f>IF(A25="","",IF(B25="Thu",SUMIFS('Sổ giao dịch'!$E$2:$E$3001,'Sổ giao dịch'!$C$2:$C$3001,A25,'Sổ giao dịch'!$H$2:$H$3001,'Thống kê tháng'!$B$2*100+6),SUMIFS('Sổ giao dịch'!$F$2:$F$3001,'Sổ giao dịch'!$C$2:$C$3001,A25,'Sổ giao dịch'!$H$2:$H$3001,'Thống kê tháng'!$B$2*100+6)))</f>
        <v/>
      </c>
      <c r="I25" s="10">
        <f>IF(A25="","",IF(B25="Thu",SUMIFS('Sổ giao dịch'!$E$2:$E$3001,'Sổ giao dịch'!$C$2:$C$3001,A25,'Sổ giao dịch'!$H$2:$H$3001,'Thống kê tháng'!$B$2*100+7),SUMIFS('Sổ giao dịch'!$F$2:$F$3001,'Sổ giao dịch'!$C$2:$C$3001,A25,'Sổ giao dịch'!$H$2:$H$3001,'Thống kê tháng'!$B$2*100+7)))</f>
        <v/>
      </c>
      <c r="J25" s="10">
        <f>IF(A25="","",IF(B25="Thu",SUMIFS('Sổ giao dịch'!$E$2:$E$3001,'Sổ giao dịch'!$C$2:$C$3001,A25,'Sổ giao dịch'!$H$2:$H$3001,'Thống kê tháng'!$B$2*100+8),SUMIFS('Sổ giao dịch'!$F$2:$F$3001,'Sổ giao dịch'!$C$2:$C$3001,A25,'Sổ giao dịch'!$H$2:$H$3001,'Thống kê tháng'!$B$2*100+8)))</f>
        <v/>
      </c>
      <c r="K25" s="10">
        <f>IF(A25="","",IF(B25="Thu",SUMIFS('Sổ giao dịch'!$E$2:$E$3001,'Sổ giao dịch'!$C$2:$C$3001,A25,'Sổ giao dịch'!$H$2:$H$3001,'Thống kê tháng'!$B$2*100+9),SUMIFS('Sổ giao dịch'!$F$2:$F$3001,'Sổ giao dịch'!$C$2:$C$3001,A25,'Sổ giao dịch'!$H$2:$H$3001,'Thống kê tháng'!$B$2*100+9)))</f>
        <v/>
      </c>
      <c r="L25" s="10">
        <f>IF(A25="","",IF(B25="Thu",SUMIFS('Sổ giao dịch'!$E$2:$E$3001,'Sổ giao dịch'!$C$2:$C$3001,A25,'Sổ giao dịch'!$H$2:$H$3001,'Thống kê tháng'!$B$2*100+10),SUMIFS('Sổ giao dịch'!$F$2:$F$3001,'Sổ giao dịch'!$C$2:$C$3001,A25,'Sổ giao dịch'!$H$2:$H$3001,'Thống kê tháng'!$B$2*100+10)))</f>
        <v/>
      </c>
      <c r="M25" s="10">
        <f>IF(A25="","",IF(B25="Thu",SUMIFS('Sổ giao dịch'!$E$2:$E$3001,'Sổ giao dịch'!$C$2:$C$3001,A25,'Sổ giao dịch'!$H$2:$H$3001,'Thống kê tháng'!$B$2*100+11),SUMIFS('Sổ giao dịch'!$F$2:$F$3001,'Sổ giao dịch'!$C$2:$C$3001,A25,'Sổ giao dịch'!$H$2:$H$3001,'Thống kê tháng'!$B$2*100+11)))</f>
        <v/>
      </c>
      <c r="N25" s="10">
        <f>IF(A25="","",IF(B25="Thu",SUMIFS('Sổ giao dịch'!$E$2:$E$3001,'Sổ giao dịch'!$C$2:$C$3001,A25,'Sổ giao dịch'!$H$2:$H$3001,'Thống kê tháng'!$B$2*100+12),SUMIFS('Sổ giao dịch'!$F$2:$F$3001,'Sổ giao dịch'!$C$2:$C$3001,A25,'Sổ giao dịch'!$H$2:$H$3001,'Thống kê tháng'!$B$2*100+12)))</f>
        <v/>
      </c>
      <c r="O25" s="10">
        <f>IF(A25="","",SUM(C25:N25))</f>
        <v/>
      </c>
      <c r="P25" s="10">
        <f>IF(A25="","",IF('Thống kê tháng'!$B$19=0,0,O25/'Thống kê tháng'!$B$19))</f>
        <v/>
      </c>
      <c r="Q25" s="10">
        <f>IF(OR(A25="",'Danh mục'!C22=""),"",'Danh mục'!C22)</f>
        <v/>
      </c>
      <c r="R25" s="13">
        <f>IF(OR(Q25="",Q25=0),"",P25/Q25)</f>
        <v/>
      </c>
    </row>
    <row r="26">
      <c r="A26" s="16">
        <f>IF('Danh mục'!A23="","",'Danh mục'!A23)</f>
        <v/>
      </c>
      <c r="B26" s="16">
        <f>IF(A26="","",'Danh mục'!B23)</f>
        <v/>
      </c>
      <c r="C26" s="10">
        <f>IF(A26="","",IF(B26="Thu",SUMIFS('Sổ giao dịch'!$E$2:$E$3001,'Sổ giao dịch'!$C$2:$C$3001,A26,'Sổ giao dịch'!$H$2:$H$3001,'Thống kê tháng'!$B$2*100+1),SUMIFS('Sổ giao dịch'!$F$2:$F$3001,'Sổ giao dịch'!$C$2:$C$3001,A26,'Sổ giao dịch'!$H$2:$H$3001,'Thống kê tháng'!$B$2*100+1)))</f>
        <v/>
      </c>
      <c r="D26" s="10">
        <f>IF(A26="","",IF(B26="Thu",SUMIFS('Sổ giao dịch'!$E$2:$E$3001,'Sổ giao dịch'!$C$2:$C$3001,A26,'Sổ giao dịch'!$H$2:$H$3001,'Thống kê tháng'!$B$2*100+2),SUMIFS('Sổ giao dịch'!$F$2:$F$3001,'Sổ giao dịch'!$C$2:$C$3001,A26,'Sổ giao dịch'!$H$2:$H$3001,'Thống kê tháng'!$B$2*100+2)))</f>
        <v/>
      </c>
      <c r="E26" s="10">
        <f>IF(A26="","",IF(B26="Thu",SUMIFS('Sổ giao dịch'!$E$2:$E$3001,'Sổ giao dịch'!$C$2:$C$3001,A26,'Sổ giao dịch'!$H$2:$H$3001,'Thống kê tháng'!$B$2*100+3),SUMIFS('Sổ giao dịch'!$F$2:$F$3001,'Sổ giao dịch'!$C$2:$C$3001,A26,'Sổ giao dịch'!$H$2:$H$3001,'Thống kê tháng'!$B$2*100+3)))</f>
        <v/>
      </c>
      <c r="F26" s="10">
        <f>IF(A26="","",IF(B26="Thu",SUMIFS('Sổ giao dịch'!$E$2:$E$3001,'Sổ giao dịch'!$C$2:$C$3001,A26,'Sổ giao dịch'!$H$2:$H$3001,'Thống kê tháng'!$B$2*100+4),SUMIFS('Sổ giao dịch'!$F$2:$F$3001,'Sổ giao dịch'!$C$2:$C$3001,A26,'Sổ giao dịch'!$H$2:$H$3001,'Thống kê tháng'!$B$2*100+4)))</f>
        <v/>
      </c>
      <c r="G26" s="10">
        <f>IF(A26="","",IF(B26="Thu",SUMIFS('Sổ giao dịch'!$E$2:$E$3001,'Sổ giao dịch'!$C$2:$C$3001,A26,'Sổ giao dịch'!$H$2:$H$3001,'Thống kê tháng'!$B$2*100+5),SUMIFS('Sổ giao dịch'!$F$2:$F$3001,'Sổ giao dịch'!$C$2:$C$3001,A26,'Sổ giao dịch'!$H$2:$H$3001,'Thống kê tháng'!$B$2*100+5)))</f>
        <v/>
      </c>
      <c r="H26" s="10">
        <f>IF(A26="","",IF(B26="Thu",SUMIFS('Sổ giao dịch'!$E$2:$E$3001,'Sổ giao dịch'!$C$2:$C$3001,A26,'Sổ giao dịch'!$H$2:$H$3001,'Thống kê tháng'!$B$2*100+6),SUMIFS('Sổ giao dịch'!$F$2:$F$3001,'Sổ giao dịch'!$C$2:$C$3001,A26,'Sổ giao dịch'!$H$2:$H$3001,'Thống kê tháng'!$B$2*100+6)))</f>
        <v/>
      </c>
      <c r="I26" s="10">
        <f>IF(A26="","",IF(B26="Thu",SUMIFS('Sổ giao dịch'!$E$2:$E$3001,'Sổ giao dịch'!$C$2:$C$3001,A26,'Sổ giao dịch'!$H$2:$H$3001,'Thống kê tháng'!$B$2*100+7),SUMIFS('Sổ giao dịch'!$F$2:$F$3001,'Sổ giao dịch'!$C$2:$C$3001,A26,'Sổ giao dịch'!$H$2:$H$3001,'Thống kê tháng'!$B$2*100+7)))</f>
        <v/>
      </c>
      <c r="J26" s="10">
        <f>IF(A26="","",IF(B26="Thu",SUMIFS('Sổ giao dịch'!$E$2:$E$3001,'Sổ giao dịch'!$C$2:$C$3001,A26,'Sổ giao dịch'!$H$2:$H$3001,'Thống kê tháng'!$B$2*100+8),SUMIFS('Sổ giao dịch'!$F$2:$F$3001,'Sổ giao dịch'!$C$2:$C$3001,A26,'Sổ giao dịch'!$H$2:$H$3001,'Thống kê tháng'!$B$2*100+8)))</f>
        <v/>
      </c>
      <c r="K26" s="10">
        <f>IF(A26="","",IF(B26="Thu",SUMIFS('Sổ giao dịch'!$E$2:$E$3001,'Sổ giao dịch'!$C$2:$C$3001,A26,'Sổ giao dịch'!$H$2:$H$3001,'Thống kê tháng'!$B$2*100+9),SUMIFS('Sổ giao dịch'!$F$2:$F$3001,'Sổ giao dịch'!$C$2:$C$3001,A26,'Sổ giao dịch'!$H$2:$H$3001,'Thống kê tháng'!$B$2*100+9)))</f>
        <v/>
      </c>
      <c r="L26" s="10">
        <f>IF(A26="","",IF(B26="Thu",SUMIFS('Sổ giao dịch'!$E$2:$E$3001,'Sổ giao dịch'!$C$2:$C$3001,A26,'Sổ giao dịch'!$H$2:$H$3001,'Thống kê tháng'!$B$2*100+10),SUMIFS('Sổ giao dịch'!$F$2:$F$3001,'Sổ giao dịch'!$C$2:$C$3001,A26,'Sổ giao dịch'!$H$2:$H$3001,'Thống kê tháng'!$B$2*100+10)))</f>
        <v/>
      </c>
      <c r="M26" s="10">
        <f>IF(A26="","",IF(B26="Thu",SUMIFS('Sổ giao dịch'!$E$2:$E$3001,'Sổ giao dịch'!$C$2:$C$3001,A26,'Sổ giao dịch'!$H$2:$H$3001,'Thống kê tháng'!$B$2*100+11),SUMIFS('Sổ giao dịch'!$F$2:$F$3001,'Sổ giao dịch'!$C$2:$C$3001,A26,'Sổ giao dịch'!$H$2:$H$3001,'Thống kê tháng'!$B$2*100+11)))</f>
        <v/>
      </c>
      <c r="N26" s="10">
        <f>IF(A26="","",IF(B26="Thu",SUMIFS('Sổ giao dịch'!$E$2:$E$3001,'Sổ giao dịch'!$C$2:$C$3001,A26,'Sổ giao dịch'!$H$2:$H$3001,'Thống kê tháng'!$B$2*100+12),SUMIFS('Sổ giao dịch'!$F$2:$F$3001,'Sổ giao dịch'!$C$2:$C$3001,A26,'Sổ giao dịch'!$H$2:$H$3001,'Thống kê tháng'!$B$2*100+12)))</f>
        <v/>
      </c>
      <c r="O26" s="10">
        <f>IF(A26="","",SUM(C26:N26))</f>
        <v/>
      </c>
      <c r="P26" s="10">
        <f>IF(A26="","",IF('Thống kê tháng'!$B$19=0,0,O26/'Thống kê tháng'!$B$19))</f>
        <v/>
      </c>
      <c r="Q26" s="10">
        <f>IF(OR(A26="",'Danh mục'!C23=""),"",'Danh mục'!C23)</f>
        <v/>
      </c>
      <c r="R26" s="13">
        <f>IF(OR(Q26="",Q26=0),"",P26/Q26)</f>
        <v/>
      </c>
    </row>
    <row r="27">
      <c r="A27" s="16">
        <f>IF('Danh mục'!A24="","",'Danh mục'!A24)</f>
        <v/>
      </c>
      <c r="B27" s="16">
        <f>IF(A27="","",'Danh mục'!B24)</f>
        <v/>
      </c>
      <c r="C27" s="10">
        <f>IF(A27="","",IF(B27="Thu",SUMIFS('Sổ giao dịch'!$E$2:$E$3001,'Sổ giao dịch'!$C$2:$C$3001,A27,'Sổ giao dịch'!$H$2:$H$3001,'Thống kê tháng'!$B$2*100+1),SUMIFS('Sổ giao dịch'!$F$2:$F$3001,'Sổ giao dịch'!$C$2:$C$3001,A27,'Sổ giao dịch'!$H$2:$H$3001,'Thống kê tháng'!$B$2*100+1)))</f>
        <v/>
      </c>
      <c r="D27" s="10">
        <f>IF(A27="","",IF(B27="Thu",SUMIFS('Sổ giao dịch'!$E$2:$E$3001,'Sổ giao dịch'!$C$2:$C$3001,A27,'Sổ giao dịch'!$H$2:$H$3001,'Thống kê tháng'!$B$2*100+2),SUMIFS('Sổ giao dịch'!$F$2:$F$3001,'Sổ giao dịch'!$C$2:$C$3001,A27,'Sổ giao dịch'!$H$2:$H$3001,'Thống kê tháng'!$B$2*100+2)))</f>
        <v/>
      </c>
      <c r="E27" s="10">
        <f>IF(A27="","",IF(B27="Thu",SUMIFS('Sổ giao dịch'!$E$2:$E$3001,'Sổ giao dịch'!$C$2:$C$3001,A27,'Sổ giao dịch'!$H$2:$H$3001,'Thống kê tháng'!$B$2*100+3),SUMIFS('Sổ giao dịch'!$F$2:$F$3001,'Sổ giao dịch'!$C$2:$C$3001,A27,'Sổ giao dịch'!$H$2:$H$3001,'Thống kê tháng'!$B$2*100+3)))</f>
        <v/>
      </c>
      <c r="F27" s="10">
        <f>IF(A27="","",IF(B27="Thu",SUMIFS('Sổ giao dịch'!$E$2:$E$3001,'Sổ giao dịch'!$C$2:$C$3001,A27,'Sổ giao dịch'!$H$2:$H$3001,'Thống kê tháng'!$B$2*100+4),SUMIFS('Sổ giao dịch'!$F$2:$F$3001,'Sổ giao dịch'!$C$2:$C$3001,A27,'Sổ giao dịch'!$H$2:$H$3001,'Thống kê tháng'!$B$2*100+4)))</f>
        <v/>
      </c>
      <c r="G27" s="10">
        <f>IF(A27="","",IF(B27="Thu",SUMIFS('Sổ giao dịch'!$E$2:$E$3001,'Sổ giao dịch'!$C$2:$C$3001,A27,'Sổ giao dịch'!$H$2:$H$3001,'Thống kê tháng'!$B$2*100+5),SUMIFS('Sổ giao dịch'!$F$2:$F$3001,'Sổ giao dịch'!$C$2:$C$3001,A27,'Sổ giao dịch'!$H$2:$H$3001,'Thống kê tháng'!$B$2*100+5)))</f>
        <v/>
      </c>
      <c r="H27" s="10">
        <f>IF(A27="","",IF(B27="Thu",SUMIFS('Sổ giao dịch'!$E$2:$E$3001,'Sổ giao dịch'!$C$2:$C$3001,A27,'Sổ giao dịch'!$H$2:$H$3001,'Thống kê tháng'!$B$2*100+6),SUMIFS('Sổ giao dịch'!$F$2:$F$3001,'Sổ giao dịch'!$C$2:$C$3001,A27,'Sổ giao dịch'!$H$2:$H$3001,'Thống kê tháng'!$B$2*100+6)))</f>
        <v/>
      </c>
      <c r="I27" s="10">
        <f>IF(A27="","",IF(B27="Thu",SUMIFS('Sổ giao dịch'!$E$2:$E$3001,'Sổ giao dịch'!$C$2:$C$3001,A27,'Sổ giao dịch'!$H$2:$H$3001,'Thống kê tháng'!$B$2*100+7),SUMIFS('Sổ giao dịch'!$F$2:$F$3001,'Sổ giao dịch'!$C$2:$C$3001,A27,'Sổ giao dịch'!$H$2:$H$3001,'Thống kê tháng'!$B$2*100+7)))</f>
        <v/>
      </c>
      <c r="J27" s="10">
        <f>IF(A27="","",IF(B27="Thu",SUMIFS('Sổ giao dịch'!$E$2:$E$3001,'Sổ giao dịch'!$C$2:$C$3001,A27,'Sổ giao dịch'!$H$2:$H$3001,'Thống kê tháng'!$B$2*100+8),SUMIFS('Sổ giao dịch'!$F$2:$F$3001,'Sổ giao dịch'!$C$2:$C$3001,A27,'Sổ giao dịch'!$H$2:$H$3001,'Thống kê tháng'!$B$2*100+8)))</f>
        <v/>
      </c>
      <c r="K27" s="10">
        <f>IF(A27="","",IF(B27="Thu",SUMIFS('Sổ giao dịch'!$E$2:$E$3001,'Sổ giao dịch'!$C$2:$C$3001,A27,'Sổ giao dịch'!$H$2:$H$3001,'Thống kê tháng'!$B$2*100+9),SUMIFS('Sổ giao dịch'!$F$2:$F$3001,'Sổ giao dịch'!$C$2:$C$3001,A27,'Sổ giao dịch'!$H$2:$H$3001,'Thống kê tháng'!$B$2*100+9)))</f>
        <v/>
      </c>
      <c r="L27" s="10">
        <f>IF(A27="","",IF(B27="Thu",SUMIFS('Sổ giao dịch'!$E$2:$E$3001,'Sổ giao dịch'!$C$2:$C$3001,A27,'Sổ giao dịch'!$H$2:$H$3001,'Thống kê tháng'!$B$2*100+10),SUMIFS('Sổ giao dịch'!$F$2:$F$3001,'Sổ giao dịch'!$C$2:$C$3001,A27,'Sổ giao dịch'!$H$2:$H$3001,'Thống kê tháng'!$B$2*100+10)))</f>
        <v/>
      </c>
      <c r="M27" s="10">
        <f>IF(A27="","",IF(B27="Thu",SUMIFS('Sổ giao dịch'!$E$2:$E$3001,'Sổ giao dịch'!$C$2:$C$3001,A27,'Sổ giao dịch'!$H$2:$H$3001,'Thống kê tháng'!$B$2*100+11),SUMIFS('Sổ giao dịch'!$F$2:$F$3001,'Sổ giao dịch'!$C$2:$C$3001,A27,'Sổ giao dịch'!$H$2:$H$3001,'Thống kê tháng'!$B$2*100+11)))</f>
        <v/>
      </c>
      <c r="N27" s="10">
        <f>IF(A27="","",IF(B27="Thu",SUMIFS('Sổ giao dịch'!$E$2:$E$3001,'Sổ giao dịch'!$C$2:$C$3001,A27,'Sổ giao dịch'!$H$2:$H$3001,'Thống kê tháng'!$B$2*100+12),SUMIFS('Sổ giao dịch'!$F$2:$F$3001,'Sổ giao dịch'!$C$2:$C$3001,A27,'Sổ giao dịch'!$H$2:$H$3001,'Thống kê tháng'!$B$2*100+12)))</f>
        <v/>
      </c>
      <c r="O27" s="10">
        <f>IF(A27="","",SUM(C27:N27))</f>
        <v/>
      </c>
      <c r="P27" s="10">
        <f>IF(A27="","",IF('Thống kê tháng'!$B$19=0,0,O27/'Thống kê tháng'!$B$19))</f>
        <v/>
      </c>
      <c r="Q27" s="10">
        <f>IF(OR(A27="",'Danh mục'!C24=""),"",'Danh mục'!C24)</f>
        <v/>
      </c>
      <c r="R27" s="13">
        <f>IF(OR(Q27="",Q27=0),"",P27/Q27)</f>
        <v/>
      </c>
    </row>
    <row r="28">
      <c r="A28" s="16">
        <f>IF('Danh mục'!A25="","",'Danh mục'!A25)</f>
        <v/>
      </c>
      <c r="B28" s="16">
        <f>IF(A28="","",'Danh mục'!B25)</f>
        <v/>
      </c>
      <c r="C28" s="10">
        <f>IF(A28="","",IF(B28="Thu",SUMIFS('Sổ giao dịch'!$E$2:$E$3001,'Sổ giao dịch'!$C$2:$C$3001,A28,'Sổ giao dịch'!$H$2:$H$3001,'Thống kê tháng'!$B$2*100+1),SUMIFS('Sổ giao dịch'!$F$2:$F$3001,'Sổ giao dịch'!$C$2:$C$3001,A28,'Sổ giao dịch'!$H$2:$H$3001,'Thống kê tháng'!$B$2*100+1)))</f>
        <v/>
      </c>
      <c r="D28" s="10">
        <f>IF(A28="","",IF(B28="Thu",SUMIFS('Sổ giao dịch'!$E$2:$E$3001,'Sổ giao dịch'!$C$2:$C$3001,A28,'Sổ giao dịch'!$H$2:$H$3001,'Thống kê tháng'!$B$2*100+2),SUMIFS('Sổ giao dịch'!$F$2:$F$3001,'Sổ giao dịch'!$C$2:$C$3001,A28,'Sổ giao dịch'!$H$2:$H$3001,'Thống kê tháng'!$B$2*100+2)))</f>
        <v/>
      </c>
      <c r="E28" s="10">
        <f>IF(A28="","",IF(B28="Thu",SUMIFS('Sổ giao dịch'!$E$2:$E$3001,'Sổ giao dịch'!$C$2:$C$3001,A28,'Sổ giao dịch'!$H$2:$H$3001,'Thống kê tháng'!$B$2*100+3),SUMIFS('Sổ giao dịch'!$F$2:$F$3001,'Sổ giao dịch'!$C$2:$C$3001,A28,'Sổ giao dịch'!$H$2:$H$3001,'Thống kê tháng'!$B$2*100+3)))</f>
        <v/>
      </c>
      <c r="F28" s="10">
        <f>IF(A28="","",IF(B28="Thu",SUMIFS('Sổ giao dịch'!$E$2:$E$3001,'Sổ giao dịch'!$C$2:$C$3001,A28,'Sổ giao dịch'!$H$2:$H$3001,'Thống kê tháng'!$B$2*100+4),SUMIFS('Sổ giao dịch'!$F$2:$F$3001,'Sổ giao dịch'!$C$2:$C$3001,A28,'Sổ giao dịch'!$H$2:$H$3001,'Thống kê tháng'!$B$2*100+4)))</f>
        <v/>
      </c>
      <c r="G28" s="10">
        <f>IF(A28="","",IF(B28="Thu",SUMIFS('Sổ giao dịch'!$E$2:$E$3001,'Sổ giao dịch'!$C$2:$C$3001,A28,'Sổ giao dịch'!$H$2:$H$3001,'Thống kê tháng'!$B$2*100+5),SUMIFS('Sổ giao dịch'!$F$2:$F$3001,'Sổ giao dịch'!$C$2:$C$3001,A28,'Sổ giao dịch'!$H$2:$H$3001,'Thống kê tháng'!$B$2*100+5)))</f>
        <v/>
      </c>
      <c r="H28" s="10">
        <f>IF(A28="","",IF(B28="Thu",SUMIFS('Sổ giao dịch'!$E$2:$E$3001,'Sổ giao dịch'!$C$2:$C$3001,A28,'Sổ giao dịch'!$H$2:$H$3001,'Thống kê tháng'!$B$2*100+6),SUMIFS('Sổ giao dịch'!$F$2:$F$3001,'Sổ giao dịch'!$C$2:$C$3001,A28,'Sổ giao dịch'!$H$2:$H$3001,'Thống kê tháng'!$B$2*100+6)))</f>
        <v/>
      </c>
      <c r="I28" s="10">
        <f>IF(A28="","",IF(B28="Thu",SUMIFS('Sổ giao dịch'!$E$2:$E$3001,'Sổ giao dịch'!$C$2:$C$3001,A28,'Sổ giao dịch'!$H$2:$H$3001,'Thống kê tháng'!$B$2*100+7),SUMIFS('Sổ giao dịch'!$F$2:$F$3001,'Sổ giao dịch'!$C$2:$C$3001,A28,'Sổ giao dịch'!$H$2:$H$3001,'Thống kê tháng'!$B$2*100+7)))</f>
        <v/>
      </c>
      <c r="J28" s="10">
        <f>IF(A28="","",IF(B28="Thu",SUMIFS('Sổ giao dịch'!$E$2:$E$3001,'Sổ giao dịch'!$C$2:$C$3001,A28,'Sổ giao dịch'!$H$2:$H$3001,'Thống kê tháng'!$B$2*100+8),SUMIFS('Sổ giao dịch'!$F$2:$F$3001,'Sổ giao dịch'!$C$2:$C$3001,A28,'Sổ giao dịch'!$H$2:$H$3001,'Thống kê tháng'!$B$2*100+8)))</f>
        <v/>
      </c>
      <c r="K28" s="10">
        <f>IF(A28="","",IF(B28="Thu",SUMIFS('Sổ giao dịch'!$E$2:$E$3001,'Sổ giao dịch'!$C$2:$C$3001,A28,'Sổ giao dịch'!$H$2:$H$3001,'Thống kê tháng'!$B$2*100+9),SUMIFS('Sổ giao dịch'!$F$2:$F$3001,'Sổ giao dịch'!$C$2:$C$3001,A28,'Sổ giao dịch'!$H$2:$H$3001,'Thống kê tháng'!$B$2*100+9)))</f>
        <v/>
      </c>
      <c r="L28" s="10">
        <f>IF(A28="","",IF(B28="Thu",SUMIFS('Sổ giao dịch'!$E$2:$E$3001,'Sổ giao dịch'!$C$2:$C$3001,A28,'Sổ giao dịch'!$H$2:$H$3001,'Thống kê tháng'!$B$2*100+10),SUMIFS('Sổ giao dịch'!$F$2:$F$3001,'Sổ giao dịch'!$C$2:$C$3001,A28,'Sổ giao dịch'!$H$2:$H$3001,'Thống kê tháng'!$B$2*100+10)))</f>
        <v/>
      </c>
      <c r="M28" s="10">
        <f>IF(A28="","",IF(B28="Thu",SUMIFS('Sổ giao dịch'!$E$2:$E$3001,'Sổ giao dịch'!$C$2:$C$3001,A28,'Sổ giao dịch'!$H$2:$H$3001,'Thống kê tháng'!$B$2*100+11),SUMIFS('Sổ giao dịch'!$F$2:$F$3001,'Sổ giao dịch'!$C$2:$C$3001,A28,'Sổ giao dịch'!$H$2:$H$3001,'Thống kê tháng'!$B$2*100+11)))</f>
        <v/>
      </c>
      <c r="N28" s="10">
        <f>IF(A28="","",IF(B28="Thu",SUMIFS('Sổ giao dịch'!$E$2:$E$3001,'Sổ giao dịch'!$C$2:$C$3001,A28,'Sổ giao dịch'!$H$2:$H$3001,'Thống kê tháng'!$B$2*100+12),SUMIFS('Sổ giao dịch'!$F$2:$F$3001,'Sổ giao dịch'!$C$2:$C$3001,A28,'Sổ giao dịch'!$H$2:$H$3001,'Thống kê tháng'!$B$2*100+12)))</f>
        <v/>
      </c>
      <c r="O28" s="10">
        <f>IF(A28="","",SUM(C28:N28))</f>
        <v/>
      </c>
      <c r="P28" s="10">
        <f>IF(A28="","",IF('Thống kê tháng'!$B$19=0,0,O28/'Thống kê tháng'!$B$19))</f>
        <v/>
      </c>
      <c r="Q28" s="10">
        <f>IF(OR(A28="",'Danh mục'!C25=""),"",'Danh mục'!C25)</f>
        <v/>
      </c>
      <c r="R28" s="13">
        <f>IF(OR(Q28="",Q28=0),"",P28/Q28)</f>
        <v/>
      </c>
    </row>
    <row r="29">
      <c r="A29" s="16">
        <f>IF('Danh mục'!A26="","",'Danh mục'!A26)</f>
        <v/>
      </c>
      <c r="B29" s="16">
        <f>IF(A29="","",'Danh mục'!B26)</f>
        <v/>
      </c>
      <c r="C29" s="10">
        <f>IF(A29="","",IF(B29="Thu",SUMIFS('Sổ giao dịch'!$E$2:$E$3001,'Sổ giao dịch'!$C$2:$C$3001,A29,'Sổ giao dịch'!$H$2:$H$3001,'Thống kê tháng'!$B$2*100+1),SUMIFS('Sổ giao dịch'!$F$2:$F$3001,'Sổ giao dịch'!$C$2:$C$3001,A29,'Sổ giao dịch'!$H$2:$H$3001,'Thống kê tháng'!$B$2*100+1)))</f>
        <v/>
      </c>
      <c r="D29" s="10">
        <f>IF(A29="","",IF(B29="Thu",SUMIFS('Sổ giao dịch'!$E$2:$E$3001,'Sổ giao dịch'!$C$2:$C$3001,A29,'Sổ giao dịch'!$H$2:$H$3001,'Thống kê tháng'!$B$2*100+2),SUMIFS('Sổ giao dịch'!$F$2:$F$3001,'Sổ giao dịch'!$C$2:$C$3001,A29,'Sổ giao dịch'!$H$2:$H$3001,'Thống kê tháng'!$B$2*100+2)))</f>
        <v/>
      </c>
      <c r="E29" s="10">
        <f>IF(A29="","",IF(B29="Thu",SUMIFS('Sổ giao dịch'!$E$2:$E$3001,'Sổ giao dịch'!$C$2:$C$3001,A29,'Sổ giao dịch'!$H$2:$H$3001,'Thống kê tháng'!$B$2*100+3),SUMIFS('Sổ giao dịch'!$F$2:$F$3001,'Sổ giao dịch'!$C$2:$C$3001,A29,'Sổ giao dịch'!$H$2:$H$3001,'Thống kê tháng'!$B$2*100+3)))</f>
        <v/>
      </c>
      <c r="F29" s="10">
        <f>IF(A29="","",IF(B29="Thu",SUMIFS('Sổ giao dịch'!$E$2:$E$3001,'Sổ giao dịch'!$C$2:$C$3001,A29,'Sổ giao dịch'!$H$2:$H$3001,'Thống kê tháng'!$B$2*100+4),SUMIFS('Sổ giao dịch'!$F$2:$F$3001,'Sổ giao dịch'!$C$2:$C$3001,A29,'Sổ giao dịch'!$H$2:$H$3001,'Thống kê tháng'!$B$2*100+4)))</f>
        <v/>
      </c>
      <c r="G29" s="10">
        <f>IF(A29="","",IF(B29="Thu",SUMIFS('Sổ giao dịch'!$E$2:$E$3001,'Sổ giao dịch'!$C$2:$C$3001,A29,'Sổ giao dịch'!$H$2:$H$3001,'Thống kê tháng'!$B$2*100+5),SUMIFS('Sổ giao dịch'!$F$2:$F$3001,'Sổ giao dịch'!$C$2:$C$3001,A29,'Sổ giao dịch'!$H$2:$H$3001,'Thống kê tháng'!$B$2*100+5)))</f>
        <v/>
      </c>
      <c r="H29" s="10">
        <f>IF(A29="","",IF(B29="Thu",SUMIFS('Sổ giao dịch'!$E$2:$E$3001,'Sổ giao dịch'!$C$2:$C$3001,A29,'Sổ giao dịch'!$H$2:$H$3001,'Thống kê tháng'!$B$2*100+6),SUMIFS('Sổ giao dịch'!$F$2:$F$3001,'Sổ giao dịch'!$C$2:$C$3001,A29,'Sổ giao dịch'!$H$2:$H$3001,'Thống kê tháng'!$B$2*100+6)))</f>
        <v/>
      </c>
      <c r="I29" s="10">
        <f>IF(A29="","",IF(B29="Thu",SUMIFS('Sổ giao dịch'!$E$2:$E$3001,'Sổ giao dịch'!$C$2:$C$3001,A29,'Sổ giao dịch'!$H$2:$H$3001,'Thống kê tháng'!$B$2*100+7),SUMIFS('Sổ giao dịch'!$F$2:$F$3001,'Sổ giao dịch'!$C$2:$C$3001,A29,'Sổ giao dịch'!$H$2:$H$3001,'Thống kê tháng'!$B$2*100+7)))</f>
        <v/>
      </c>
      <c r="J29" s="10">
        <f>IF(A29="","",IF(B29="Thu",SUMIFS('Sổ giao dịch'!$E$2:$E$3001,'Sổ giao dịch'!$C$2:$C$3001,A29,'Sổ giao dịch'!$H$2:$H$3001,'Thống kê tháng'!$B$2*100+8),SUMIFS('Sổ giao dịch'!$F$2:$F$3001,'Sổ giao dịch'!$C$2:$C$3001,A29,'Sổ giao dịch'!$H$2:$H$3001,'Thống kê tháng'!$B$2*100+8)))</f>
        <v/>
      </c>
      <c r="K29" s="10">
        <f>IF(A29="","",IF(B29="Thu",SUMIFS('Sổ giao dịch'!$E$2:$E$3001,'Sổ giao dịch'!$C$2:$C$3001,A29,'Sổ giao dịch'!$H$2:$H$3001,'Thống kê tháng'!$B$2*100+9),SUMIFS('Sổ giao dịch'!$F$2:$F$3001,'Sổ giao dịch'!$C$2:$C$3001,A29,'Sổ giao dịch'!$H$2:$H$3001,'Thống kê tháng'!$B$2*100+9)))</f>
        <v/>
      </c>
      <c r="L29" s="10">
        <f>IF(A29="","",IF(B29="Thu",SUMIFS('Sổ giao dịch'!$E$2:$E$3001,'Sổ giao dịch'!$C$2:$C$3001,A29,'Sổ giao dịch'!$H$2:$H$3001,'Thống kê tháng'!$B$2*100+10),SUMIFS('Sổ giao dịch'!$F$2:$F$3001,'Sổ giao dịch'!$C$2:$C$3001,A29,'Sổ giao dịch'!$H$2:$H$3001,'Thống kê tháng'!$B$2*100+10)))</f>
        <v/>
      </c>
      <c r="M29" s="10">
        <f>IF(A29="","",IF(B29="Thu",SUMIFS('Sổ giao dịch'!$E$2:$E$3001,'Sổ giao dịch'!$C$2:$C$3001,A29,'Sổ giao dịch'!$H$2:$H$3001,'Thống kê tháng'!$B$2*100+11),SUMIFS('Sổ giao dịch'!$F$2:$F$3001,'Sổ giao dịch'!$C$2:$C$3001,A29,'Sổ giao dịch'!$H$2:$H$3001,'Thống kê tháng'!$B$2*100+11)))</f>
        <v/>
      </c>
      <c r="N29" s="10">
        <f>IF(A29="","",IF(B29="Thu",SUMIFS('Sổ giao dịch'!$E$2:$E$3001,'Sổ giao dịch'!$C$2:$C$3001,A29,'Sổ giao dịch'!$H$2:$H$3001,'Thống kê tháng'!$B$2*100+12),SUMIFS('Sổ giao dịch'!$F$2:$F$3001,'Sổ giao dịch'!$C$2:$C$3001,A29,'Sổ giao dịch'!$H$2:$H$3001,'Thống kê tháng'!$B$2*100+12)))</f>
        <v/>
      </c>
      <c r="O29" s="10">
        <f>IF(A29="","",SUM(C29:N29))</f>
        <v/>
      </c>
      <c r="P29" s="10">
        <f>IF(A29="","",IF('Thống kê tháng'!$B$19=0,0,O29/'Thống kê tháng'!$B$19))</f>
        <v/>
      </c>
      <c r="Q29" s="10">
        <f>IF(OR(A29="",'Danh mục'!C26=""),"",'Danh mục'!C26)</f>
        <v/>
      </c>
      <c r="R29" s="13">
        <f>IF(OR(Q29="",Q29=0),"",P29/Q29)</f>
        <v/>
      </c>
    </row>
    <row r="30">
      <c r="A30" s="16">
        <f>IF('Danh mục'!A27="","",'Danh mục'!A27)</f>
        <v/>
      </c>
      <c r="B30" s="16">
        <f>IF(A30="","",'Danh mục'!B27)</f>
        <v/>
      </c>
      <c r="C30" s="10">
        <f>IF(A30="","",IF(B30="Thu",SUMIFS('Sổ giao dịch'!$E$2:$E$3001,'Sổ giao dịch'!$C$2:$C$3001,A30,'Sổ giao dịch'!$H$2:$H$3001,'Thống kê tháng'!$B$2*100+1),SUMIFS('Sổ giao dịch'!$F$2:$F$3001,'Sổ giao dịch'!$C$2:$C$3001,A30,'Sổ giao dịch'!$H$2:$H$3001,'Thống kê tháng'!$B$2*100+1)))</f>
        <v/>
      </c>
      <c r="D30" s="10">
        <f>IF(A30="","",IF(B30="Thu",SUMIFS('Sổ giao dịch'!$E$2:$E$3001,'Sổ giao dịch'!$C$2:$C$3001,A30,'Sổ giao dịch'!$H$2:$H$3001,'Thống kê tháng'!$B$2*100+2),SUMIFS('Sổ giao dịch'!$F$2:$F$3001,'Sổ giao dịch'!$C$2:$C$3001,A30,'Sổ giao dịch'!$H$2:$H$3001,'Thống kê tháng'!$B$2*100+2)))</f>
        <v/>
      </c>
      <c r="E30" s="10">
        <f>IF(A30="","",IF(B30="Thu",SUMIFS('Sổ giao dịch'!$E$2:$E$3001,'Sổ giao dịch'!$C$2:$C$3001,A30,'Sổ giao dịch'!$H$2:$H$3001,'Thống kê tháng'!$B$2*100+3),SUMIFS('Sổ giao dịch'!$F$2:$F$3001,'Sổ giao dịch'!$C$2:$C$3001,A30,'Sổ giao dịch'!$H$2:$H$3001,'Thống kê tháng'!$B$2*100+3)))</f>
        <v/>
      </c>
      <c r="F30" s="10">
        <f>IF(A30="","",IF(B30="Thu",SUMIFS('Sổ giao dịch'!$E$2:$E$3001,'Sổ giao dịch'!$C$2:$C$3001,A30,'Sổ giao dịch'!$H$2:$H$3001,'Thống kê tháng'!$B$2*100+4),SUMIFS('Sổ giao dịch'!$F$2:$F$3001,'Sổ giao dịch'!$C$2:$C$3001,A30,'Sổ giao dịch'!$H$2:$H$3001,'Thống kê tháng'!$B$2*100+4)))</f>
        <v/>
      </c>
      <c r="G30" s="10">
        <f>IF(A30="","",IF(B30="Thu",SUMIFS('Sổ giao dịch'!$E$2:$E$3001,'Sổ giao dịch'!$C$2:$C$3001,A30,'Sổ giao dịch'!$H$2:$H$3001,'Thống kê tháng'!$B$2*100+5),SUMIFS('Sổ giao dịch'!$F$2:$F$3001,'Sổ giao dịch'!$C$2:$C$3001,A30,'Sổ giao dịch'!$H$2:$H$3001,'Thống kê tháng'!$B$2*100+5)))</f>
        <v/>
      </c>
      <c r="H30" s="10">
        <f>IF(A30="","",IF(B30="Thu",SUMIFS('Sổ giao dịch'!$E$2:$E$3001,'Sổ giao dịch'!$C$2:$C$3001,A30,'Sổ giao dịch'!$H$2:$H$3001,'Thống kê tháng'!$B$2*100+6),SUMIFS('Sổ giao dịch'!$F$2:$F$3001,'Sổ giao dịch'!$C$2:$C$3001,A30,'Sổ giao dịch'!$H$2:$H$3001,'Thống kê tháng'!$B$2*100+6)))</f>
        <v/>
      </c>
      <c r="I30" s="10">
        <f>IF(A30="","",IF(B30="Thu",SUMIFS('Sổ giao dịch'!$E$2:$E$3001,'Sổ giao dịch'!$C$2:$C$3001,A30,'Sổ giao dịch'!$H$2:$H$3001,'Thống kê tháng'!$B$2*100+7),SUMIFS('Sổ giao dịch'!$F$2:$F$3001,'Sổ giao dịch'!$C$2:$C$3001,A30,'Sổ giao dịch'!$H$2:$H$3001,'Thống kê tháng'!$B$2*100+7)))</f>
        <v/>
      </c>
      <c r="J30" s="10">
        <f>IF(A30="","",IF(B30="Thu",SUMIFS('Sổ giao dịch'!$E$2:$E$3001,'Sổ giao dịch'!$C$2:$C$3001,A30,'Sổ giao dịch'!$H$2:$H$3001,'Thống kê tháng'!$B$2*100+8),SUMIFS('Sổ giao dịch'!$F$2:$F$3001,'Sổ giao dịch'!$C$2:$C$3001,A30,'Sổ giao dịch'!$H$2:$H$3001,'Thống kê tháng'!$B$2*100+8)))</f>
        <v/>
      </c>
      <c r="K30" s="10">
        <f>IF(A30="","",IF(B30="Thu",SUMIFS('Sổ giao dịch'!$E$2:$E$3001,'Sổ giao dịch'!$C$2:$C$3001,A30,'Sổ giao dịch'!$H$2:$H$3001,'Thống kê tháng'!$B$2*100+9),SUMIFS('Sổ giao dịch'!$F$2:$F$3001,'Sổ giao dịch'!$C$2:$C$3001,A30,'Sổ giao dịch'!$H$2:$H$3001,'Thống kê tháng'!$B$2*100+9)))</f>
        <v/>
      </c>
      <c r="L30" s="10">
        <f>IF(A30="","",IF(B30="Thu",SUMIFS('Sổ giao dịch'!$E$2:$E$3001,'Sổ giao dịch'!$C$2:$C$3001,A30,'Sổ giao dịch'!$H$2:$H$3001,'Thống kê tháng'!$B$2*100+10),SUMIFS('Sổ giao dịch'!$F$2:$F$3001,'Sổ giao dịch'!$C$2:$C$3001,A30,'Sổ giao dịch'!$H$2:$H$3001,'Thống kê tháng'!$B$2*100+10)))</f>
        <v/>
      </c>
      <c r="M30" s="10">
        <f>IF(A30="","",IF(B30="Thu",SUMIFS('Sổ giao dịch'!$E$2:$E$3001,'Sổ giao dịch'!$C$2:$C$3001,A30,'Sổ giao dịch'!$H$2:$H$3001,'Thống kê tháng'!$B$2*100+11),SUMIFS('Sổ giao dịch'!$F$2:$F$3001,'Sổ giao dịch'!$C$2:$C$3001,A30,'Sổ giao dịch'!$H$2:$H$3001,'Thống kê tháng'!$B$2*100+11)))</f>
        <v/>
      </c>
      <c r="N30" s="10">
        <f>IF(A30="","",IF(B30="Thu",SUMIFS('Sổ giao dịch'!$E$2:$E$3001,'Sổ giao dịch'!$C$2:$C$3001,A30,'Sổ giao dịch'!$H$2:$H$3001,'Thống kê tháng'!$B$2*100+12),SUMIFS('Sổ giao dịch'!$F$2:$F$3001,'Sổ giao dịch'!$C$2:$C$3001,A30,'Sổ giao dịch'!$H$2:$H$3001,'Thống kê tháng'!$B$2*100+12)))</f>
        <v/>
      </c>
      <c r="O30" s="10">
        <f>IF(A30="","",SUM(C30:N30))</f>
        <v/>
      </c>
      <c r="P30" s="10">
        <f>IF(A30="","",IF('Thống kê tháng'!$B$19=0,0,O30/'Thống kê tháng'!$B$19))</f>
        <v/>
      </c>
      <c r="Q30" s="10">
        <f>IF(OR(A30="",'Danh mục'!C27=""),"",'Danh mục'!C27)</f>
        <v/>
      </c>
      <c r="R30" s="13">
        <f>IF(OR(Q30="",Q30=0),"",P30/Q30)</f>
        <v/>
      </c>
    </row>
    <row r="31">
      <c r="A31" s="16">
        <f>IF('Danh mục'!A28="","",'Danh mục'!A28)</f>
        <v/>
      </c>
      <c r="B31" s="16">
        <f>IF(A31="","",'Danh mục'!B28)</f>
        <v/>
      </c>
      <c r="C31" s="10">
        <f>IF(A31="","",IF(B31="Thu",SUMIFS('Sổ giao dịch'!$E$2:$E$3001,'Sổ giao dịch'!$C$2:$C$3001,A31,'Sổ giao dịch'!$H$2:$H$3001,'Thống kê tháng'!$B$2*100+1),SUMIFS('Sổ giao dịch'!$F$2:$F$3001,'Sổ giao dịch'!$C$2:$C$3001,A31,'Sổ giao dịch'!$H$2:$H$3001,'Thống kê tháng'!$B$2*100+1)))</f>
        <v/>
      </c>
      <c r="D31" s="10">
        <f>IF(A31="","",IF(B31="Thu",SUMIFS('Sổ giao dịch'!$E$2:$E$3001,'Sổ giao dịch'!$C$2:$C$3001,A31,'Sổ giao dịch'!$H$2:$H$3001,'Thống kê tháng'!$B$2*100+2),SUMIFS('Sổ giao dịch'!$F$2:$F$3001,'Sổ giao dịch'!$C$2:$C$3001,A31,'Sổ giao dịch'!$H$2:$H$3001,'Thống kê tháng'!$B$2*100+2)))</f>
        <v/>
      </c>
      <c r="E31" s="10">
        <f>IF(A31="","",IF(B31="Thu",SUMIFS('Sổ giao dịch'!$E$2:$E$3001,'Sổ giao dịch'!$C$2:$C$3001,A31,'Sổ giao dịch'!$H$2:$H$3001,'Thống kê tháng'!$B$2*100+3),SUMIFS('Sổ giao dịch'!$F$2:$F$3001,'Sổ giao dịch'!$C$2:$C$3001,A31,'Sổ giao dịch'!$H$2:$H$3001,'Thống kê tháng'!$B$2*100+3)))</f>
        <v/>
      </c>
      <c r="F31" s="10">
        <f>IF(A31="","",IF(B31="Thu",SUMIFS('Sổ giao dịch'!$E$2:$E$3001,'Sổ giao dịch'!$C$2:$C$3001,A31,'Sổ giao dịch'!$H$2:$H$3001,'Thống kê tháng'!$B$2*100+4),SUMIFS('Sổ giao dịch'!$F$2:$F$3001,'Sổ giao dịch'!$C$2:$C$3001,A31,'Sổ giao dịch'!$H$2:$H$3001,'Thống kê tháng'!$B$2*100+4)))</f>
        <v/>
      </c>
      <c r="G31" s="10">
        <f>IF(A31="","",IF(B31="Thu",SUMIFS('Sổ giao dịch'!$E$2:$E$3001,'Sổ giao dịch'!$C$2:$C$3001,A31,'Sổ giao dịch'!$H$2:$H$3001,'Thống kê tháng'!$B$2*100+5),SUMIFS('Sổ giao dịch'!$F$2:$F$3001,'Sổ giao dịch'!$C$2:$C$3001,A31,'Sổ giao dịch'!$H$2:$H$3001,'Thống kê tháng'!$B$2*100+5)))</f>
        <v/>
      </c>
      <c r="H31" s="10">
        <f>IF(A31="","",IF(B31="Thu",SUMIFS('Sổ giao dịch'!$E$2:$E$3001,'Sổ giao dịch'!$C$2:$C$3001,A31,'Sổ giao dịch'!$H$2:$H$3001,'Thống kê tháng'!$B$2*100+6),SUMIFS('Sổ giao dịch'!$F$2:$F$3001,'Sổ giao dịch'!$C$2:$C$3001,A31,'Sổ giao dịch'!$H$2:$H$3001,'Thống kê tháng'!$B$2*100+6)))</f>
        <v/>
      </c>
      <c r="I31" s="10">
        <f>IF(A31="","",IF(B31="Thu",SUMIFS('Sổ giao dịch'!$E$2:$E$3001,'Sổ giao dịch'!$C$2:$C$3001,A31,'Sổ giao dịch'!$H$2:$H$3001,'Thống kê tháng'!$B$2*100+7),SUMIFS('Sổ giao dịch'!$F$2:$F$3001,'Sổ giao dịch'!$C$2:$C$3001,A31,'Sổ giao dịch'!$H$2:$H$3001,'Thống kê tháng'!$B$2*100+7)))</f>
        <v/>
      </c>
      <c r="J31" s="10">
        <f>IF(A31="","",IF(B31="Thu",SUMIFS('Sổ giao dịch'!$E$2:$E$3001,'Sổ giao dịch'!$C$2:$C$3001,A31,'Sổ giao dịch'!$H$2:$H$3001,'Thống kê tháng'!$B$2*100+8),SUMIFS('Sổ giao dịch'!$F$2:$F$3001,'Sổ giao dịch'!$C$2:$C$3001,A31,'Sổ giao dịch'!$H$2:$H$3001,'Thống kê tháng'!$B$2*100+8)))</f>
        <v/>
      </c>
      <c r="K31" s="10">
        <f>IF(A31="","",IF(B31="Thu",SUMIFS('Sổ giao dịch'!$E$2:$E$3001,'Sổ giao dịch'!$C$2:$C$3001,A31,'Sổ giao dịch'!$H$2:$H$3001,'Thống kê tháng'!$B$2*100+9),SUMIFS('Sổ giao dịch'!$F$2:$F$3001,'Sổ giao dịch'!$C$2:$C$3001,A31,'Sổ giao dịch'!$H$2:$H$3001,'Thống kê tháng'!$B$2*100+9)))</f>
        <v/>
      </c>
      <c r="L31" s="10">
        <f>IF(A31="","",IF(B31="Thu",SUMIFS('Sổ giao dịch'!$E$2:$E$3001,'Sổ giao dịch'!$C$2:$C$3001,A31,'Sổ giao dịch'!$H$2:$H$3001,'Thống kê tháng'!$B$2*100+10),SUMIFS('Sổ giao dịch'!$F$2:$F$3001,'Sổ giao dịch'!$C$2:$C$3001,A31,'Sổ giao dịch'!$H$2:$H$3001,'Thống kê tháng'!$B$2*100+10)))</f>
        <v/>
      </c>
      <c r="M31" s="10">
        <f>IF(A31="","",IF(B31="Thu",SUMIFS('Sổ giao dịch'!$E$2:$E$3001,'Sổ giao dịch'!$C$2:$C$3001,A31,'Sổ giao dịch'!$H$2:$H$3001,'Thống kê tháng'!$B$2*100+11),SUMIFS('Sổ giao dịch'!$F$2:$F$3001,'Sổ giao dịch'!$C$2:$C$3001,A31,'Sổ giao dịch'!$H$2:$H$3001,'Thống kê tháng'!$B$2*100+11)))</f>
        <v/>
      </c>
      <c r="N31" s="10">
        <f>IF(A31="","",IF(B31="Thu",SUMIFS('Sổ giao dịch'!$E$2:$E$3001,'Sổ giao dịch'!$C$2:$C$3001,A31,'Sổ giao dịch'!$H$2:$H$3001,'Thống kê tháng'!$B$2*100+12),SUMIFS('Sổ giao dịch'!$F$2:$F$3001,'Sổ giao dịch'!$C$2:$C$3001,A31,'Sổ giao dịch'!$H$2:$H$3001,'Thống kê tháng'!$B$2*100+12)))</f>
        <v/>
      </c>
      <c r="O31" s="10">
        <f>IF(A31="","",SUM(C31:N31))</f>
        <v/>
      </c>
      <c r="P31" s="10">
        <f>IF(A31="","",IF('Thống kê tháng'!$B$19=0,0,O31/'Thống kê tháng'!$B$19))</f>
        <v/>
      </c>
      <c r="Q31" s="10">
        <f>IF(OR(A31="",'Danh mục'!C28=""),"",'Danh mục'!C28)</f>
        <v/>
      </c>
      <c r="R31" s="13">
        <f>IF(OR(Q31="",Q31=0),"",P31/Q31)</f>
        <v/>
      </c>
    </row>
    <row r="32">
      <c r="A32" s="16">
        <f>IF('Danh mục'!A29="","",'Danh mục'!A29)</f>
        <v/>
      </c>
      <c r="B32" s="16">
        <f>IF(A32="","",'Danh mục'!B29)</f>
        <v/>
      </c>
      <c r="C32" s="10">
        <f>IF(A32="","",IF(B32="Thu",SUMIFS('Sổ giao dịch'!$E$2:$E$3001,'Sổ giao dịch'!$C$2:$C$3001,A32,'Sổ giao dịch'!$H$2:$H$3001,'Thống kê tháng'!$B$2*100+1),SUMIFS('Sổ giao dịch'!$F$2:$F$3001,'Sổ giao dịch'!$C$2:$C$3001,A32,'Sổ giao dịch'!$H$2:$H$3001,'Thống kê tháng'!$B$2*100+1)))</f>
        <v/>
      </c>
      <c r="D32" s="10">
        <f>IF(A32="","",IF(B32="Thu",SUMIFS('Sổ giao dịch'!$E$2:$E$3001,'Sổ giao dịch'!$C$2:$C$3001,A32,'Sổ giao dịch'!$H$2:$H$3001,'Thống kê tháng'!$B$2*100+2),SUMIFS('Sổ giao dịch'!$F$2:$F$3001,'Sổ giao dịch'!$C$2:$C$3001,A32,'Sổ giao dịch'!$H$2:$H$3001,'Thống kê tháng'!$B$2*100+2)))</f>
        <v/>
      </c>
      <c r="E32" s="10">
        <f>IF(A32="","",IF(B32="Thu",SUMIFS('Sổ giao dịch'!$E$2:$E$3001,'Sổ giao dịch'!$C$2:$C$3001,A32,'Sổ giao dịch'!$H$2:$H$3001,'Thống kê tháng'!$B$2*100+3),SUMIFS('Sổ giao dịch'!$F$2:$F$3001,'Sổ giao dịch'!$C$2:$C$3001,A32,'Sổ giao dịch'!$H$2:$H$3001,'Thống kê tháng'!$B$2*100+3)))</f>
        <v/>
      </c>
      <c r="F32" s="10">
        <f>IF(A32="","",IF(B32="Thu",SUMIFS('Sổ giao dịch'!$E$2:$E$3001,'Sổ giao dịch'!$C$2:$C$3001,A32,'Sổ giao dịch'!$H$2:$H$3001,'Thống kê tháng'!$B$2*100+4),SUMIFS('Sổ giao dịch'!$F$2:$F$3001,'Sổ giao dịch'!$C$2:$C$3001,A32,'Sổ giao dịch'!$H$2:$H$3001,'Thống kê tháng'!$B$2*100+4)))</f>
        <v/>
      </c>
      <c r="G32" s="10">
        <f>IF(A32="","",IF(B32="Thu",SUMIFS('Sổ giao dịch'!$E$2:$E$3001,'Sổ giao dịch'!$C$2:$C$3001,A32,'Sổ giao dịch'!$H$2:$H$3001,'Thống kê tháng'!$B$2*100+5),SUMIFS('Sổ giao dịch'!$F$2:$F$3001,'Sổ giao dịch'!$C$2:$C$3001,A32,'Sổ giao dịch'!$H$2:$H$3001,'Thống kê tháng'!$B$2*100+5)))</f>
        <v/>
      </c>
      <c r="H32" s="10">
        <f>IF(A32="","",IF(B32="Thu",SUMIFS('Sổ giao dịch'!$E$2:$E$3001,'Sổ giao dịch'!$C$2:$C$3001,A32,'Sổ giao dịch'!$H$2:$H$3001,'Thống kê tháng'!$B$2*100+6),SUMIFS('Sổ giao dịch'!$F$2:$F$3001,'Sổ giao dịch'!$C$2:$C$3001,A32,'Sổ giao dịch'!$H$2:$H$3001,'Thống kê tháng'!$B$2*100+6)))</f>
        <v/>
      </c>
      <c r="I32" s="10">
        <f>IF(A32="","",IF(B32="Thu",SUMIFS('Sổ giao dịch'!$E$2:$E$3001,'Sổ giao dịch'!$C$2:$C$3001,A32,'Sổ giao dịch'!$H$2:$H$3001,'Thống kê tháng'!$B$2*100+7),SUMIFS('Sổ giao dịch'!$F$2:$F$3001,'Sổ giao dịch'!$C$2:$C$3001,A32,'Sổ giao dịch'!$H$2:$H$3001,'Thống kê tháng'!$B$2*100+7)))</f>
        <v/>
      </c>
      <c r="J32" s="10">
        <f>IF(A32="","",IF(B32="Thu",SUMIFS('Sổ giao dịch'!$E$2:$E$3001,'Sổ giao dịch'!$C$2:$C$3001,A32,'Sổ giao dịch'!$H$2:$H$3001,'Thống kê tháng'!$B$2*100+8),SUMIFS('Sổ giao dịch'!$F$2:$F$3001,'Sổ giao dịch'!$C$2:$C$3001,A32,'Sổ giao dịch'!$H$2:$H$3001,'Thống kê tháng'!$B$2*100+8)))</f>
        <v/>
      </c>
      <c r="K32" s="10">
        <f>IF(A32="","",IF(B32="Thu",SUMIFS('Sổ giao dịch'!$E$2:$E$3001,'Sổ giao dịch'!$C$2:$C$3001,A32,'Sổ giao dịch'!$H$2:$H$3001,'Thống kê tháng'!$B$2*100+9),SUMIFS('Sổ giao dịch'!$F$2:$F$3001,'Sổ giao dịch'!$C$2:$C$3001,A32,'Sổ giao dịch'!$H$2:$H$3001,'Thống kê tháng'!$B$2*100+9)))</f>
        <v/>
      </c>
      <c r="L32" s="10">
        <f>IF(A32="","",IF(B32="Thu",SUMIFS('Sổ giao dịch'!$E$2:$E$3001,'Sổ giao dịch'!$C$2:$C$3001,A32,'Sổ giao dịch'!$H$2:$H$3001,'Thống kê tháng'!$B$2*100+10),SUMIFS('Sổ giao dịch'!$F$2:$F$3001,'Sổ giao dịch'!$C$2:$C$3001,A32,'Sổ giao dịch'!$H$2:$H$3001,'Thống kê tháng'!$B$2*100+10)))</f>
        <v/>
      </c>
      <c r="M32" s="10">
        <f>IF(A32="","",IF(B32="Thu",SUMIFS('Sổ giao dịch'!$E$2:$E$3001,'Sổ giao dịch'!$C$2:$C$3001,A32,'Sổ giao dịch'!$H$2:$H$3001,'Thống kê tháng'!$B$2*100+11),SUMIFS('Sổ giao dịch'!$F$2:$F$3001,'Sổ giao dịch'!$C$2:$C$3001,A32,'Sổ giao dịch'!$H$2:$H$3001,'Thống kê tháng'!$B$2*100+11)))</f>
        <v/>
      </c>
      <c r="N32" s="10">
        <f>IF(A32="","",IF(B32="Thu",SUMIFS('Sổ giao dịch'!$E$2:$E$3001,'Sổ giao dịch'!$C$2:$C$3001,A32,'Sổ giao dịch'!$H$2:$H$3001,'Thống kê tháng'!$B$2*100+12),SUMIFS('Sổ giao dịch'!$F$2:$F$3001,'Sổ giao dịch'!$C$2:$C$3001,A32,'Sổ giao dịch'!$H$2:$H$3001,'Thống kê tháng'!$B$2*100+12)))</f>
        <v/>
      </c>
      <c r="O32" s="10">
        <f>IF(A32="","",SUM(C32:N32))</f>
        <v/>
      </c>
      <c r="P32" s="10">
        <f>IF(A32="","",IF('Thống kê tháng'!$B$19=0,0,O32/'Thống kê tháng'!$B$19))</f>
        <v/>
      </c>
      <c r="Q32" s="10">
        <f>IF(OR(A32="",'Danh mục'!C29=""),"",'Danh mục'!C29)</f>
        <v/>
      </c>
      <c r="R32" s="13">
        <f>IF(OR(Q32="",Q32=0),"",P32/Q32)</f>
        <v/>
      </c>
    </row>
    <row r="33">
      <c r="A33" s="16">
        <f>IF('Danh mục'!A30="","",'Danh mục'!A30)</f>
        <v/>
      </c>
      <c r="B33" s="16">
        <f>IF(A33="","",'Danh mục'!B30)</f>
        <v/>
      </c>
      <c r="C33" s="10">
        <f>IF(A33="","",IF(B33="Thu",SUMIFS('Sổ giao dịch'!$E$2:$E$3001,'Sổ giao dịch'!$C$2:$C$3001,A33,'Sổ giao dịch'!$H$2:$H$3001,'Thống kê tháng'!$B$2*100+1),SUMIFS('Sổ giao dịch'!$F$2:$F$3001,'Sổ giao dịch'!$C$2:$C$3001,A33,'Sổ giao dịch'!$H$2:$H$3001,'Thống kê tháng'!$B$2*100+1)))</f>
        <v/>
      </c>
      <c r="D33" s="10">
        <f>IF(A33="","",IF(B33="Thu",SUMIFS('Sổ giao dịch'!$E$2:$E$3001,'Sổ giao dịch'!$C$2:$C$3001,A33,'Sổ giao dịch'!$H$2:$H$3001,'Thống kê tháng'!$B$2*100+2),SUMIFS('Sổ giao dịch'!$F$2:$F$3001,'Sổ giao dịch'!$C$2:$C$3001,A33,'Sổ giao dịch'!$H$2:$H$3001,'Thống kê tháng'!$B$2*100+2)))</f>
        <v/>
      </c>
      <c r="E33" s="10">
        <f>IF(A33="","",IF(B33="Thu",SUMIFS('Sổ giao dịch'!$E$2:$E$3001,'Sổ giao dịch'!$C$2:$C$3001,A33,'Sổ giao dịch'!$H$2:$H$3001,'Thống kê tháng'!$B$2*100+3),SUMIFS('Sổ giao dịch'!$F$2:$F$3001,'Sổ giao dịch'!$C$2:$C$3001,A33,'Sổ giao dịch'!$H$2:$H$3001,'Thống kê tháng'!$B$2*100+3)))</f>
        <v/>
      </c>
      <c r="F33" s="10">
        <f>IF(A33="","",IF(B33="Thu",SUMIFS('Sổ giao dịch'!$E$2:$E$3001,'Sổ giao dịch'!$C$2:$C$3001,A33,'Sổ giao dịch'!$H$2:$H$3001,'Thống kê tháng'!$B$2*100+4),SUMIFS('Sổ giao dịch'!$F$2:$F$3001,'Sổ giao dịch'!$C$2:$C$3001,A33,'Sổ giao dịch'!$H$2:$H$3001,'Thống kê tháng'!$B$2*100+4)))</f>
        <v/>
      </c>
      <c r="G33" s="10">
        <f>IF(A33="","",IF(B33="Thu",SUMIFS('Sổ giao dịch'!$E$2:$E$3001,'Sổ giao dịch'!$C$2:$C$3001,A33,'Sổ giao dịch'!$H$2:$H$3001,'Thống kê tháng'!$B$2*100+5),SUMIFS('Sổ giao dịch'!$F$2:$F$3001,'Sổ giao dịch'!$C$2:$C$3001,A33,'Sổ giao dịch'!$H$2:$H$3001,'Thống kê tháng'!$B$2*100+5)))</f>
        <v/>
      </c>
      <c r="H33" s="10">
        <f>IF(A33="","",IF(B33="Thu",SUMIFS('Sổ giao dịch'!$E$2:$E$3001,'Sổ giao dịch'!$C$2:$C$3001,A33,'Sổ giao dịch'!$H$2:$H$3001,'Thống kê tháng'!$B$2*100+6),SUMIFS('Sổ giao dịch'!$F$2:$F$3001,'Sổ giao dịch'!$C$2:$C$3001,A33,'Sổ giao dịch'!$H$2:$H$3001,'Thống kê tháng'!$B$2*100+6)))</f>
        <v/>
      </c>
      <c r="I33" s="10">
        <f>IF(A33="","",IF(B33="Thu",SUMIFS('Sổ giao dịch'!$E$2:$E$3001,'Sổ giao dịch'!$C$2:$C$3001,A33,'Sổ giao dịch'!$H$2:$H$3001,'Thống kê tháng'!$B$2*100+7),SUMIFS('Sổ giao dịch'!$F$2:$F$3001,'Sổ giao dịch'!$C$2:$C$3001,A33,'Sổ giao dịch'!$H$2:$H$3001,'Thống kê tháng'!$B$2*100+7)))</f>
        <v/>
      </c>
      <c r="J33" s="10">
        <f>IF(A33="","",IF(B33="Thu",SUMIFS('Sổ giao dịch'!$E$2:$E$3001,'Sổ giao dịch'!$C$2:$C$3001,A33,'Sổ giao dịch'!$H$2:$H$3001,'Thống kê tháng'!$B$2*100+8),SUMIFS('Sổ giao dịch'!$F$2:$F$3001,'Sổ giao dịch'!$C$2:$C$3001,A33,'Sổ giao dịch'!$H$2:$H$3001,'Thống kê tháng'!$B$2*100+8)))</f>
        <v/>
      </c>
      <c r="K33" s="10">
        <f>IF(A33="","",IF(B33="Thu",SUMIFS('Sổ giao dịch'!$E$2:$E$3001,'Sổ giao dịch'!$C$2:$C$3001,A33,'Sổ giao dịch'!$H$2:$H$3001,'Thống kê tháng'!$B$2*100+9),SUMIFS('Sổ giao dịch'!$F$2:$F$3001,'Sổ giao dịch'!$C$2:$C$3001,A33,'Sổ giao dịch'!$H$2:$H$3001,'Thống kê tháng'!$B$2*100+9)))</f>
        <v/>
      </c>
      <c r="L33" s="10">
        <f>IF(A33="","",IF(B33="Thu",SUMIFS('Sổ giao dịch'!$E$2:$E$3001,'Sổ giao dịch'!$C$2:$C$3001,A33,'Sổ giao dịch'!$H$2:$H$3001,'Thống kê tháng'!$B$2*100+10),SUMIFS('Sổ giao dịch'!$F$2:$F$3001,'Sổ giao dịch'!$C$2:$C$3001,A33,'Sổ giao dịch'!$H$2:$H$3001,'Thống kê tháng'!$B$2*100+10)))</f>
        <v/>
      </c>
      <c r="M33" s="10">
        <f>IF(A33="","",IF(B33="Thu",SUMIFS('Sổ giao dịch'!$E$2:$E$3001,'Sổ giao dịch'!$C$2:$C$3001,A33,'Sổ giao dịch'!$H$2:$H$3001,'Thống kê tháng'!$B$2*100+11),SUMIFS('Sổ giao dịch'!$F$2:$F$3001,'Sổ giao dịch'!$C$2:$C$3001,A33,'Sổ giao dịch'!$H$2:$H$3001,'Thống kê tháng'!$B$2*100+11)))</f>
        <v/>
      </c>
      <c r="N33" s="10">
        <f>IF(A33="","",IF(B33="Thu",SUMIFS('Sổ giao dịch'!$E$2:$E$3001,'Sổ giao dịch'!$C$2:$C$3001,A33,'Sổ giao dịch'!$H$2:$H$3001,'Thống kê tháng'!$B$2*100+12),SUMIFS('Sổ giao dịch'!$F$2:$F$3001,'Sổ giao dịch'!$C$2:$C$3001,A33,'Sổ giao dịch'!$H$2:$H$3001,'Thống kê tháng'!$B$2*100+12)))</f>
        <v/>
      </c>
      <c r="O33" s="10">
        <f>IF(A33="","",SUM(C33:N33))</f>
        <v/>
      </c>
      <c r="P33" s="10">
        <f>IF(A33="","",IF('Thống kê tháng'!$B$19=0,0,O33/'Thống kê tháng'!$B$19))</f>
        <v/>
      </c>
      <c r="Q33" s="10">
        <f>IF(OR(A33="",'Danh mục'!C30=""),"",'Danh mục'!C30)</f>
        <v/>
      </c>
      <c r="R33" s="13">
        <f>IF(OR(Q33="",Q33=0),"",P33/Q33)</f>
        <v/>
      </c>
    </row>
    <row r="34">
      <c r="A34" s="16">
        <f>IF('Danh mục'!A31="","",'Danh mục'!A31)</f>
        <v/>
      </c>
      <c r="B34" s="16">
        <f>IF(A34="","",'Danh mục'!B31)</f>
        <v/>
      </c>
      <c r="C34" s="10">
        <f>IF(A34="","",IF(B34="Thu",SUMIFS('Sổ giao dịch'!$E$2:$E$3001,'Sổ giao dịch'!$C$2:$C$3001,A34,'Sổ giao dịch'!$H$2:$H$3001,'Thống kê tháng'!$B$2*100+1),SUMIFS('Sổ giao dịch'!$F$2:$F$3001,'Sổ giao dịch'!$C$2:$C$3001,A34,'Sổ giao dịch'!$H$2:$H$3001,'Thống kê tháng'!$B$2*100+1)))</f>
        <v/>
      </c>
      <c r="D34" s="10">
        <f>IF(A34="","",IF(B34="Thu",SUMIFS('Sổ giao dịch'!$E$2:$E$3001,'Sổ giao dịch'!$C$2:$C$3001,A34,'Sổ giao dịch'!$H$2:$H$3001,'Thống kê tháng'!$B$2*100+2),SUMIFS('Sổ giao dịch'!$F$2:$F$3001,'Sổ giao dịch'!$C$2:$C$3001,A34,'Sổ giao dịch'!$H$2:$H$3001,'Thống kê tháng'!$B$2*100+2)))</f>
        <v/>
      </c>
      <c r="E34" s="10">
        <f>IF(A34="","",IF(B34="Thu",SUMIFS('Sổ giao dịch'!$E$2:$E$3001,'Sổ giao dịch'!$C$2:$C$3001,A34,'Sổ giao dịch'!$H$2:$H$3001,'Thống kê tháng'!$B$2*100+3),SUMIFS('Sổ giao dịch'!$F$2:$F$3001,'Sổ giao dịch'!$C$2:$C$3001,A34,'Sổ giao dịch'!$H$2:$H$3001,'Thống kê tháng'!$B$2*100+3)))</f>
        <v/>
      </c>
      <c r="F34" s="10">
        <f>IF(A34="","",IF(B34="Thu",SUMIFS('Sổ giao dịch'!$E$2:$E$3001,'Sổ giao dịch'!$C$2:$C$3001,A34,'Sổ giao dịch'!$H$2:$H$3001,'Thống kê tháng'!$B$2*100+4),SUMIFS('Sổ giao dịch'!$F$2:$F$3001,'Sổ giao dịch'!$C$2:$C$3001,A34,'Sổ giao dịch'!$H$2:$H$3001,'Thống kê tháng'!$B$2*100+4)))</f>
        <v/>
      </c>
      <c r="G34" s="10">
        <f>IF(A34="","",IF(B34="Thu",SUMIFS('Sổ giao dịch'!$E$2:$E$3001,'Sổ giao dịch'!$C$2:$C$3001,A34,'Sổ giao dịch'!$H$2:$H$3001,'Thống kê tháng'!$B$2*100+5),SUMIFS('Sổ giao dịch'!$F$2:$F$3001,'Sổ giao dịch'!$C$2:$C$3001,A34,'Sổ giao dịch'!$H$2:$H$3001,'Thống kê tháng'!$B$2*100+5)))</f>
        <v/>
      </c>
      <c r="H34" s="10">
        <f>IF(A34="","",IF(B34="Thu",SUMIFS('Sổ giao dịch'!$E$2:$E$3001,'Sổ giao dịch'!$C$2:$C$3001,A34,'Sổ giao dịch'!$H$2:$H$3001,'Thống kê tháng'!$B$2*100+6),SUMIFS('Sổ giao dịch'!$F$2:$F$3001,'Sổ giao dịch'!$C$2:$C$3001,A34,'Sổ giao dịch'!$H$2:$H$3001,'Thống kê tháng'!$B$2*100+6)))</f>
        <v/>
      </c>
      <c r="I34" s="10">
        <f>IF(A34="","",IF(B34="Thu",SUMIFS('Sổ giao dịch'!$E$2:$E$3001,'Sổ giao dịch'!$C$2:$C$3001,A34,'Sổ giao dịch'!$H$2:$H$3001,'Thống kê tháng'!$B$2*100+7),SUMIFS('Sổ giao dịch'!$F$2:$F$3001,'Sổ giao dịch'!$C$2:$C$3001,A34,'Sổ giao dịch'!$H$2:$H$3001,'Thống kê tháng'!$B$2*100+7)))</f>
        <v/>
      </c>
      <c r="J34" s="10">
        <f>IF(A34="","",IF(B34="Thu",SUMIFS('Sổ giao dịch'!$E$2:$E$3001,'Sổ giao dịch'!$C$2:$C$3001,A34,'Sổ giao dịch'!$H$2:$H$3001,'Thống kê tháng'!$B$2*100+8),SUMIFS('Sổ giao dịch'!$F$2:$F$3001,'Sổ giao dịch'!$C$2:$C$3001,A34,'Sổ giao dịch'!$H$2:$H$3001,'Thống kê tháng'!$B$2*100+8)))</f>
        <v/>
      </c>
      <c r="K34" s="10">
        <f>IF(A34="","",IF(B34="Thu",SUMIFS('Sổ giao dịch'!$E$2:$E$3001,'Sổ giao dịch'!$C$2:$C$3001,A34,'Sổ giao dịch'!$H$2:$H$3001,'Thống kê tháng'!$B$2*100+9),SUMIFS('Sổ giao dịch'!$F$2:$F$3001,'Sổ giao dịch'!$C$2:$C$3001,A34,'Sổ giao dịch'!$H$2:$H$3001,'Thống kê tháng'!$B$2*100+9)))</f>
        <v/>
      </c>
      <c r="L34" s="10">
        <f>IF(A34="","",IF(B34="Thu",SUMIFS('Sổ giao dịch'!$E$2:$E$3001,'Sổ giao dịch'!$C$2:$C$3001,A34,'Sổ giao dịch'!$H$2:$H$3001,'Thống kê tháng'!$B$2*100+10),SUMIFS('Sổ giao dịch'!$F$2:$F$3001,'Sổ giao dịch'!$C$2:$C$3001,A34,'Sổ giao dịch'!$H$2:$H$3001,'Thống kê tháng'!$B$2*100+10)))</f>
        <v/>
      </c>
      <c r="M34" s="10">
        <f>IF(A34="","",IF(B34="Thu",SUMIFS('Sổ giao dịch'!$E$2:$E$3001,'Sổ giao dịch'!$C$2:$C$3001,A34,'Sổ giao dịch'!$H$2:$H$3001,'Thống kê tháng'!$B$2*100+11),SUMIFS('Sổ giao dịch'!$F$2:$F$3001,'Sổ giao dịch'!$C$2:$C$3001,A34,'Sổ giao dịch'!$H$2:$H$3001,'Thống kê tháng'!$B$2*100+11)))</f>
        <v/>
      </c>
      <c r="N34" s="10">
        <f>IF(A34="","",IF(B34="Thu",SUMIFS('Sổ giao dịch'!$E$2:$E$3001,'Sổ giao dịch'!$C$2:$C$3001,A34,'Sổ giao dịch'!$H$2:$H$3001,'Thống kê tháng'!$B$2*100+12),SUMIFS('Sổ giao dịch'!$F$2:$F$3001,'Sổ giao dịch'!$C$2:$C$3001,A34,'Sổ giao dịch'!$H$2:$H$3001,'Thống kê tháng'!$B$2*100+12)))</f>
        <v/>
      </c>
      <c r="O34" s="10">
        <f>IF(A34="","",SUM(C34:N34))</f>
        <v/>
      </c>
      <c r="P34" s="10">
        <f>IF(A34="","",IF('Thống kê tháng'!$B$19=0,0,O34/'Thống kê tháng'!$B$19))</f>
        <v/>
      </c>
      <c r="Q34" s="10">
        <f>IF(OR(A34="",'Danh mục'!C31=""),"",'Danh mục'!C31)</f>
        <v/>
      </c>
      <c r="R34" s="13">
        <f>IF(OR(Q34="",Q34=0),"",P34/Q34)</f>
        <v/>
      </c>
    </row>
  </sheetData>
  <conditionalFormatting sqref="R5:R34">
    <cfRule type="cellIs" priority="1" operator="greaterThan" dxfId="0">
      <formula>1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8" customWidth="1" min="3" max="3"/>
  </cols>
  <sheetData>
    <row r="1">
      <c r="A1" s="15" t="inlineStr">
        <is>
          <t>Danh mục</t>
        </is>
      </c>
      <c r="B1" s="15" t="inlineStr">
        <is>
          <t>Loại (Thu/Chi)</t>
        </is>
      </c>
      <c r="C1" s="15" t="inlineStr">
        <is>
          <t>Ngân sách / tháng</t>
        </is>
      </c>
      <c r="E1" s="8" t="inlineStr">
        <is>
          <t>Ngân sách: số người dùng tự đặt (lấy theo chi thực tế tháng 8/2026), sửa tùy ý.</t>
        </is>
      </c>
    </row>
    <row r="2">
      <c r="A2" s="28" t="inlineStr">
        <is>
          <t>Lương &amp; hoa hồng</t>
        </is>
      </c>
      <c r="B2" s="28" t="inlineStr">
        <is>
          <t>Thu</t>
        </is>
      </c>
      <c r="C2" s="29" t="n"/>
    </row>
    <row r="3">
      <c r="A3" s="28" t="inlineStr">
        <is>
          <t>Thu khác / hoàn phí</t>
        </is>
      </c>
      <c r="B3" s="28" t="inlineStr">
        <is>
          <t>Thu</t>
        </is>
      </c>
      <c r="C3" s="29" t="n"/>
    </row>
    <row r="4">
      <c r="A4" s="28" t="inlineStr">
        <is>
          <t>Ăn uống &amp; đi chợ</t>
        </is>
      </c>
      <c r="B4" s="28" t="inlineStr">
        <is>
          <t>Chi</t>
        </is>
      </c>
      <c r="C4" s="29" t="n">
        <v>7000000</v>
      </c>
    </row>
    <row r="5">
      <c r="A5" s="28" t="inlineStr">
        <is>
          <t>Lãi vay căn hộ FPT</t>
        </is>
      </c>
      <c r="B5" s="28" t="inlineStr">
        <is>
          <t>Chi</t>
        </is>
      </c>
      <c r="C5" s="29" t="n">
        <v>8100000</v>
      </c>
    </row>
    <row r="6">
      <c r="A6" s="28" t="inlineStr">
        <is>
          <t>Đóng tiền căn hộ (theo đợt)</t>
        </is>
      </c>
      <c r="B6" s="28" t="inlineStr">
        <is>
          <t>Chi</t>
        </is>
      </c>
      <c r="C6" s="29" t="n"/>
    </row>
    <row r="7">
      <c r="A7" s="28" t="inlineStr">
        <is>
          <t>Bảo hiểm (BHXH)</t>
        </is>
      </c>
      <c r="B7" s="28" t="inlineStr">
        <is>
          <t>Chi</t>
        </is>
      </c>
      <c r="C7" s="29" t="n">
        <v>1540000</v>
      </c>
    </row>
    <row r="8">
      <c r="A8" s="28" t="inlineStr">
        <is>
          <t>Con cái (Mon)</t>
        </is>
      </c>
      <c r="B8" s="28" t="inlineStr">
        <is>
          <t>Chi</t>
        </is>
      </c>
      <c r="C8" s="29" t="n">
        <v>2500000</v>
      </c>
    </row>
    <row r="9">
      <c r="A9" s="28" t="inlineStr">
        <is>
          <t>Xăng xe &amp; gửi xe</t>
        </is>
      </c>
      <c r="B9" s="28" t="inlineStr">
        <is>
          <t>Chi</t>
        </is>
      </c>
      <c r="C9" s="29" t="n">
        <v>1400000</v>
      </c>
    </row>
    <row r="10">
      <c r="A10" s="28" t="inlineStr">
        <is>
          <t>Điện, nước, điện thoại</t>
        </is>
      </c>
      <c r="B10" s="28" t="inlineStr">
        <is>
          <t>Chi</t>
        </is>
      </c>
      <c r="C10" s="29" t="n">
        <v>2100000</v>
      </c>
    </row>
    <row r="11">
      <c r="A11" s="28" t="inlineStr">
        <is>
          <t>Mua sắm cá nhân</t>
        </is>
      </c>
      <c r="B11" s="28" t="inlineStr">
        <is>
          <t>Chi</t>
        </is>
      </c>
      <c r="C11" s="29" t="n">
        <v>2500000</v>
      </c>
    </row>
    <row r="12">
      <c r="A12" s="28" t="inlineStr">
        <is>
          <t>Đồ gia dụng &amp; trả góp</t>
        </is>
      </c>
      <c r="B12" s="28" t="inlineStr">
        <is>
          <t>Chi</t>
        </is>
      </c>
      <c r="C12" s="29" t="n">
        <v>1000000</v>
      </c>
    </row>
    <row r="13">
      <c r="A13" s="28" t="inlineStr">
        <is>
          <t>Hiếu hỉ, sinh nhật, cúng lễ</t>
        </is>
      </c>
      <c r="B13" s="28" t="inlineStr">
        <is>
          <t>Chi</t>
        </is>
      </c>
      <c r="C13" s="29" t="n">
        <v>2000000</v>
      </c>
    </row>
    <row r="14">
      <c r="A14" s="28" t="inlineStr">
        <is>
          <t>Giao lưu, ăn nhậu</t>
        </is>
      </c>
      <c r="B14" s="28" t="inlineStr">
        <is>
          <t>Chi</t>
        </is>
      </c>
      <c r="C14" s="29" t="n">
        <v>1000000</v>
      </c>
    </row>
    <row r="15">
      <c r="A15" s="28" t="inlineStr">
        <is>
          <t>Thuốc &amp; sức khỏe</t>
        </is>
      </c>
      <c r="B15" s="28" t="inlineStr">
        <is>
          <t>Chi</t>
        </is>
      </c>
      <c r="C15" s="29" t="n">
        <v>500000</v>
      </c>
    </row>
    <row r="16">
      <c r="A16" s="28" t="inlineStr">
        <is>
          <t>Công việc &amp; marketing</t>
        </is>
      </c>
      <c r="B16" s="28" t="inlineStr">
        <is>
          <t>Chi</t>
        </is>
      </c>
      <c r="C16" s="29" t="n">
        <v>1500000</v>
      </c>
    </row>
    <row r="17">
      <c r="A17" s="28" t="inlineStr">
        <is>
          <t>Chi khác</t>
        </is>
      </c>
      <c r="B17" s="28" t="inlineStr">
        <is>
          <t>Chi</t>
        </is>
      </c>
      <c r="C17" s="29" t="n">
        <v>1000000</v>
      </c>
    </row>
    <row r="18">
      <c r="A18" s="28" t="n"/>
      <c r="B18" s="28" t="n"/>
      <c r="C18" s="29" t="n"/>
    </row>
    <row r="19">
      <c r="A19" s="28" t="n"/>
      <c r="B19" s="28" t="n"/>
      <c r="C19" s="29" t="n"/>
    </row>
    <row r="20">
      <c r="A20" s="28" t="n"/>
      <c r="B20" s="28" t="n"/>
      <c r="C20" s="29" t="n"/>
    </row>
    <row r="21">
      <c r="A21" s="28" t="n"/>
      <c r="B21" s="28" t="n"/>
      <c r="C21" s="29" t="n"/>
    </row>
    <row r="22">
      <c r="A22" s="28" t="n"/>
      <c r="B22" s="28" t="n"/>
      <c r="C22" s="29" t="n"/>
    </row>
    <row r="23">
      <c r="A23" s="28" t="n"/>
      <c r="B23" s="28" t="n"/>
      <c r="C23" s="29" t="n"/>
    </row>
    <row r="24">
      <c r="A24" s="28" t="n"/>
      <c r="B24" s="28" t="n"/>
      <c r="C24" s="29" t="n"/>
    </row>
    <row r="25">
      <c r="A25" s="28" t="n"/>
      <c r="B25" s="28" t="n"/>
      <c r="C25" s="29" t="n"/>
    </row>
    <row r="26">
      <c r="A26" s="28" t="n"/>
      <c r="B26" s="28" t="n"/>
      <c r="C26" s="29" t="n"/>
    </row>
    <row r="27">
      <c r="A27" s="28" t="n"/>
      <c r="B27" s="28" t="n"/>
      <c r="C27" s="29" t="n"/>
    </row>
    <row r="28">
      <c r="A28" s="28" t="n"/>
      <c r="B28" s="28" t="n"/>
      <c r="C28" s="29" t="n"/>
    </row>
    <row r="29">
      <c r="A29" s="28" t="n"/>
      <c r="B29" s="28" t="n"/>
      <c r="C29" s="29" t="n"/>
    </row>
    <row r="30">
      <c r="A30" s="28" t="n"/>
      <c r="B30" s="28" t="n"/>
      <c r="C30" s="29" t="n"/>
    </row>
    <row r="31">
      <c r="A31" s="28" t="n"/>
      <c r="B31" s="28" t="n"/>
      <c r="C31" s="29" t="n"/>
    </row>
  </sheetData>
  <dataValidations count="1">
    <dataValidation sqref="B2:B31" showDropDown="0" showInputMessage="0" showErrorMessage="0" allowBlank="1" type="list">
      <formula1>"Thu,Chi"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2026-10-04T08:24:12Z</dcterms:created>
  <dcterms:modified xsi:type="dcterms:W3CDTF">2026-10-04T08:24:13Z</dcterms:modified>
</cp:coreProperties>
</file>